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06" codeName="{00000000-0000-0000-0000-000000000000}"/>
  <workbookPr filterPrivacy="1" codeName="ThisWorkbook"/>
  <xr:revisionPtr revIDLastSave="0" documentId="8_{E63125F4-A7C4-437E-B4DC-C69FEF7AFD40}" xr6:coauthVersionLast="45" xr6:coauthVersionMax="45" xr10:uidLastSave="{00000000-0000-0000-0000-000000000000}"/>
  <bookViews>
    <workbookView xWindow="0" yWindow="0" windowWidth="23040" windowHeight="9396" firstSheet="5" activeTab="5" xr2:uid="{00000000-000D-0000-FFFF-FFFF00000000}"/>
  </bookViews>
  <sheets>
    <sheet name="Grid" sheetId="1" r:id="rId1"/>
    <sheet name="Compare" sheetId="6" r:id="rId2"/>
    <sheet name="Variables" sheetId="3" r:id="rId3"/>
    <sheet name="Table" sheetId="8" r:id="rId4"/>
    <sheet name="Players" sheetId="9" r:id="rId5"/>
    <sheet name="Last Season Player Data" sheetId="10" r:id="rId6"/>
  </sheets>
  <definedNames>
    <definedName name="_xlnm._FilterDatabase" localSheetId="5" hidden="1">'Last Season Player Data'!$F$1:$F$383</definedName>
    <definedName name="_xlnm._FilterDatabase" localSheetId="4" hidden="1">Players!$A$1:$S$503</definedName>
    <definedName name="DIFF">Variables!$L$4:$M$35</definedName>
    <definedName name="SEEDS">Variables!$B$4:$C$23</definedName>
    <definedName name="TEAMS" localSheetId="1">Compare!$A$26:$A$46</definedName>
    <definedName name="TEAMS">Grid!$A$2:$A$22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70" i="10" l="1"/>
  <c r="H370" i="10" s="1"/>
  <c r="F335" i="10"/>
  <c r="H335" i="10" s="1"/>
  <c r="F331" i="10"/>
  <c r="H331" i="10" s="1"/>
  <c r="F320" i="10"/>
  <c r="H320" i="10" s="1"/>
  <c r="F289" i="10"/>
  <c r="H289" i="10" s="1"/>
  <c r="F221" i="10"/>
  <c r="H221" i="10" s="1"/>
  <c r="F230" i="10"/>
  <c r="H230" i="10" s="1"/>
  <c r="F197" i="10"/>
  <c r="H197" i="10" s="1"/>
  <c r="F229" i="10"/>
  <c r="H229" i="10" s="1"/>
  <c r="F200" i="10"/>
  <c r="H200" i="10" s="1"/>
  <c r="F168" i="10"/>
  <c r="H168" i="10" s="1"/>
  <c r="F98" i="10"/>
  <c r="H98" i="10" s="1"/>
  <c r="F107" i="10"/>
  <c r="H107" i="10" s="1"/>
  <c r="F128" i="10"/>
  <c r="H128" i="10" s="1"/>
  <c r="F97" i="10"/>
  <c r="H97" i="10" s="1"/>
  <c r="F43" i="10"/>
  <c r="H43" i="10" s="1"/>
  <c r="F14" i="10"/>
  <c r="H14" i="10" s="1"/>
  <c r="F25" i="10"/>
  <c r="H25" i="10" s="1"/>
  <c r="F361" i="10"/>
  <c r="H361" i="10" s="1"/>
  <c r="F345" i="10"/>
  <c r="H345" i="10" s="1"/>
  <c r="F343" i="10"/>
  <c r="H343" i="10" s="1"/>
  <c r="F273" i="10"/>
  <c r="H273" i="10" s="1"/>
  <c r="F265" i="10"/>
  <c r="H265" i="10" s="1"/>
  <c r="F253" i="10"/>
  <c r="H253" i="10" s="1"/>
  <c r="F196" i="10"/>
  <c r="H196" i="10" s="1"/>
  <c r="F217" i="10"/>
  <c r="H217" i="10" s="1"/>
  <c r="F179" i="10"/>
  <c r="H179" i="10" s="1"/>
  <c r="F228" i="10"/>
  <c r="H228" i="10" s="1"/>
  <c r="F220" i="10"/>
  <c r="H220" i="10" s="1"/>
  <c r="F127" i="10"/>
  <c r="H127" i="10" s="1"/>
  <c r="F90" i="10"/>
  <c r="H90" i="10" s="1"/>
  <c r="F104" i="10"/>
  <c r="H104" i="10" s="1"/>
  <c r="F96" i="10"/>
  <c r="H96" i="10" s="1"/>
  <c r="F89" i="10"/>
  <c r="H89" i="10" s="1"/>
  <c r="F21" i="10"/>
  <c r="H21" i="10" s="1"/>
  <c r="F46" i="10"/>
  <c r="H46" i="10" s="1"/>
  <c r="F48" i="10"/>
  <c r="H48" i="10" s="1"/>
  <c r="F301" i="10"/>
  <c r="H301" i="10" s="1"/>
  <c r="F373" i="10"/>
  <c r="H373" i="10" s="1"/>
  <c r="F369" i="10"/>
  <c r="H369" i="10" s="1"/>
  <c r="F364" i="10"/>
  <c r="H364" i="10" s="1"/>
  <c r="F340" i="10"/>
  <c r="H340" i="10" s="1"/>
  <c r="F330" i="10"/>
  <c r="H330" i="10" s="1"/>
  <c r="F324" i="10"/>
  <c r="H324" i="10" s="1"/>
  <c r="F319" i="10"/>
  <c r="H319" i="10" s="1"/>
  <c r="F312" i="10"/>
  <c r="H312" i="10" s="1"/>
  <c r="F268" i="10"/>
  <c r="H268" i="10" s="1"/>
  <c r="F139" i="10"/>
  <c r="H139" i="10" s="1"/>
  <c r="F150" i="10"/>
  <c r="H150" i="10" s="1"/>
  <c r="F190" i="10"/>
  <c r="H190" i="10" s="1"/>
  <c r="F147" i="10"/>
  <c r="H147" i="10" s="1"/>
  <c r="F163" i="10"/>
  <c r="H163" i="10" s="1"/>
  <c r="F133" i="10"/>
  <c r="H133" i="10" s="1"/>
  <c r="F88" i="10"/>
  <c r="H88" i="10" s="1"/>
  <c r="F113" i="10"/>
  <c r="H113" i="10" s="1"/>
  <c r="F16" i="10"/>
  <c r="H16" i="10" s="1"/>
  <c r="F70" i="10"/>
  <c r="H70" i="10" s="1"/>
  <c r="F42" i="10"/>
  <c r="H42" i="10" s="1"/>
  <c r="F62" i="10"/>
  <c r="H62" i="10" s="1"/>
  <c r="F17" i="10"/>
  <c r="H17" i="10" s="1"/>
  <c r="F383" i="10"/>
  <c r="H383" i="10" s="1"/>
  <c r="F351" i="10"/>
  <c r="H351" i="10" s="1"/>
  <c r="F308" i="10"/>
  <c r="H308" i="10" s="1"/>
  <c r="F281" i="10"/>
  <c r="H281" i="10" s="1"/>
  <c r="F280" i="10"/>
  <c r="H280" i="10" s="1"/>
  <c r="F272" i="10"/>
  <c r="H272" i="10" s="1"/>
  <c r="F260" i="10"/>
  <c r="H260" i="10" s="1"/>
  <c r="F251" i="10"/>
  <c r="H251" i="10" s="1"/>
  <c r="F227" i="10"/>
  <c r="H227" i="10" s="1"/>
  <c r="F199" i="10"/>
  <c r="H199" i="10" s="1"/>
  <c r="F211" i="10"/>
  <c r="H211" i="10" s="1"/>
  <c r="F192" i="10"/>
  <c r="H192" i="10" s="1"/>
  <c r="F132" i="10"/>
  <c r="H132" i="10" s="1"/>
  <c r="F159" i="10"/>
  <c r="H159" i="10" s="1"/>
  <c r="F146" i="10"/>
  <c r="H146" i="10" s="1"/>
  <c r="F95" i="10"/>
  <c r="H95" i="10" s="1"/>
  <c r="F138" i="10"/>
  <c r="H138" i="10" s="1"/>
  <c r="F79" i="10"/>
  <c r="H79" i="10" s="1"/>
  <c r="F103" i="10"/>
  <c r="H103" i="10" s="1"/>
  <c r="F74" i="10"/>
  <c r="H74" i="10" s="1"/>
  <c r="F52" i="10"/>
  <c r="H52" i="10" s="1"/>
  <c r="F352" i="10"/>
  <c r="H352" i="10" s="1"/>
  <c r="F339" i="10"/>
  <c r="H339" i="10" s="1"/>
  <c r="F329" i="10"/>
  <c r="H329" i="10" s="1"/>
  <c r="F291" i="10"/>
  <c r="H291" i="10" s="1"/>
  <c r="F270" i="10"/>
  <c r="H270" i="10" s="1"/>
  <c r="F205" i="10"/>
  <c r="H205" i="10" s="1"/>
  <c r="F219" i="10"/>
  <c r="H219" i="10" s="1"/>
  <c r="F204" i="10"/>
  <c r="H204" i="10" s="1"/>
  <c r="F191" i="10"/>
  <c r="H191" i="10" s="1"/>
  <c r="F137" i="10"/>
  <c r="H137" i="10" s="1"/>
  <c r="F186" i="10"/>
  <c r="H186" i="10" s="1"/>
  <c r="F185" i="10"/>
  <c r="H185" i="10" s="1"/>
  <c r="F100" i="10"/>
  <c r="H100" i="10" s="1"/>
  <c r="F136" i="10"/>
  <c r="H136" i="10" s="1"/>
  <c r="F86" i="10"/>
  <c r="H86" i="10" s="1"/>
  <c r="F116" i="10"/>
  <c r="H116" i="10" s="1"/>
  <c r="F45" i="10"/>
  <c r="H45" i="10" s="1"/>
  <c r="F50" i="10"/>
  <c r="H50" i="10" s="1"/>
  <c r="F76" i="10"/>
  <c r="H76" i="10" s="1"/>
  <c r="F69" i="10"/>
  <c r="H69" i="10" s="1"/>
  <c r="F382" i="10"/>
  <c r="H382" i="10" s="1"/>
  <c r="F342" i="10"/>
  <c r="H342" i="10" s="1"/>
  <c r="F334" i="10"/>
  <c r="H334" i="10" s="1"/>
  <c r="F311" i="10"/>
  <c r="H311" i="10" s="1"/>
  <c r="F315" i="10"/>
  <c r="H315" i="10" s="1"/>
  <c r="F288" i="10"/>
  <c r="H288" i="10" s="1"/>
  <c r="F263" i="10"/>
  <c r="H263" i="10" s="1"/>
  <c r="F285" i="10"/>
  <c r="H285" i="10" s="1"/>
  <c r="F256" i="10"/>
  <c r="H256" i="10" s="1"/>
  <c r="F279" i="10"/>
  <c r="H279" i="10" s="1"/>
  <c r="F250" i="10"/>
  <c r="H250" i="10" s="1"/>
  <c r="F239" i="10"/>
  <c r="H239" i="10" s="1"/>
  <c r="F237" i="10"/>
  <c r="H237" i="10" s="1"/>
  <c r="F195" i="10"/>
  <c r="H195" i="10" s="1"/>
  <c r="F226" i="10"/>
  <c r="H226" i="10" s="1"/>
  <c r="F112" i="10"/>
  <c r="H112" i="10" s="1"/>
  <c r="F162" i="10"/>
  <c r="H162" i="10" s="1"/>
  <c r="F122" i="10"/>
  <c r="H122" i="10" s="1"/>
  <c r="F130" i="10"/>
  <c r="H130" i="10" s="1"/>
  <c r="F111" i="10"/>
  <c r="H111" i="10" s="1"/>
  <c r="F83" i="10"/>
  <c r="H83" i="10" s="1"/>
  <c r="F12" i="10"/>
  <c r="H12" i="10" s="1"/>
  <c r="F6" i="10"/>
  <c r="H6" i="10" s="1"/>
  <c r="F61" i="10"/>
  <c r="H61" i="10" s="1"/>
  <c r="F13" i="10"/>
  <c r="H13" i="10" s="1"/>
  <c r="F55" i="10"/>
  <c r="H55" i="10" s="1"/>
  <c r="F381" i="10"/>
  <c r="H381" i="10" s="1"/>
  <c r="F360" i="10"/>
  <c r="H360" i="10" s="1"/>
  <c r="F356" i="10"/>
  <c r="H356" i="10" s="1"/>
  <c r="F323" i="10"/>
  <c r="H323" i="10" s="1"/>
  <c r="F307" i="10"/>
  <c r="H307" i="10" s="1"/>
  <c r="F264" i="10"/>
  <c r="H264" i="10" s="1"/>
  <c r="F167" i="10"/>
  <c r="H167" i="10" s="1"/>
  <c r="F126" i="10"/>
  <c r="H126" i="10" s="1"/>
  <c r="F153" i="10"/>
  <c r="H153" i="10" s="1"/>
  <c r="F165" i="10"/>
  <c r="H165" i="10" s="1"/>
  <c r="F121" i="10"/>
  <c r="H121" i="10" s="1"/>
  <c r="F63" i="10"/>
  <c r="H63" i="10" s="1"/>
  <c r="F32" i="10"/>
  <c r="H32" i="10" s="1"/>
  <c r="F149" i="10"/>
  <c r="H149" i="10" s="1"/>
  <c r="F20" i="10"/>
  <c r="H20" i="10" s="1"/>
  <c r="F60" i="10"/>
  <c r="H60" i="10" s="1"/>
  <c r="F29" i="10"/>
  <c r="H29" i="10" s="1"/>
  <c r="F26" i="10"/>
  <c r="H26" i="10" s="1"/>
  <c r="F296" i="10"/>
  <c r="H296" i="10" s="1"/>
  <c r="F216" i="10"/>
  <c r="H216" i="10" s="1"/>
  <c r="F359" i="10"/>
  <c r="H359" i="10" s="1"/>
  <c r="F346" i="10"/>
  <c r="H346" i="10" s="1"/>
  <c r="F338" i="10"/>
  <c r="H338" i="10" s="1"/>
  <c r="F333" i="10"/>
  <c r="H333" i="10" s="1"/>
  <c r="F306" i="10"/>
  <c r="H306" i="10" s="1"/>
  <c r="F300" i="10"/>
  <c r="H300" i="10" s="1"/>
  <c r="F298" i="10"/>
  <c r="H298" i="10" s="1"/>
  <c r="F278" i="10"/>
  <c r="H278" i="10" s="1"/>
  <c r="F269" i="10"/>
  <c r="H269" i="10" s="1"/>
  <c r="F244" i="10"/>
  <c r="H244" i="10" s="1"/>
  <c r="F249" i="10"/>
  <c r="H249" i="10" s="1"/>
  <c r="F169" i="10"/>
  <c r="H169" i="10" s="1"/>
  <c r="F178" i="10"/>
  <c r="H178" i="10" s="1"/>
  <c r="F210" i="10"/>
  <c r="H210" i="10" s="1"/>
  <c r="F209" i="10"/>
  <c r="H209" i="10" s="1"/>
  <c r="F99" i="10"/>
  <c r="H99" i="10" s="1"/>
  <c r="F82" i="10"/>
  <c r="H82" i="10" s="1"/>
  <c r="F148" i="10"/>
  <c r="H148" i="10" s="1"/>
  <c r="F94" i="10"/>
  <c r="H94" i="10" s="1"/>
  <c r="F66" i="10"/>
  <c r="H66" i="10" s="1"/>
  <c r="F87" i="10"/>
  <c r="H87" i="10" s="1"/>
  <c r="F59" i="10"/>
  <c r="H59" i="10" s="1"/>
  <c r="F380" i="10"/>
  <c r="H380" i="10" s="1"/>
  <c r="F379" i="10"/>
  <c r="H379" i="10" s="1"/>
  <c r="F344" i="10"/>
  <c r="H344" i="10" s="1"/>
  <c r="F327" i="10"/>
  <c r="H327" i="10" s="1"/>
  <c r="F326" i="10"/>
  <c r="H326" i="10" s="1"/>
  <c r="F310" i="10"/>
  <c r="H310" i="10" s="1"/>
  <c r="F277" i="10"/>
  <c r="H277" i="10" s="1"/>
  <c r="F267" i="10"/>
  <c r="H267" i="10" s="1"/>
  <c r="F266" i="10"/>
  <c r="H266" i="10" s="1"/>
  <c r="F231" i="10"/>
  <c r="H231" i="10" s="1"/>
  <c r="F78" i="10"/>
  <c r="H78" i="10" s="1"/>
  <c r="F215" i="10"/>
  <c r="H215" i="10" s="1"/>
  <c r="F189" i="10"/>
  <c r="H189" i="10" s="1"/>
  <c r="F38" i="10"/>
  <c r="H38" i="10" s="1"/>
  <c r="F73" i="10"/>
  <c r="H73" i="10" s="1"/>
  <c r="F164" i="10"/>
  <c r="H164" i="10" s="1"/>
  <c r="F125" i="10"/>
  <c r="H125" i="10" s="1"/>
  <c r="F93" i="10"/>
  <c r="H93" i="10" s="1"/>
  <c r="F124" i="10"/>
  <c r="H124" i="10" s="1"/>
  <c r="F142" i="10"/>
  <c r="H142" i="10" s="1"/>
  <c r="F118" i="10"/>
  <c r="H118" i="10" s="1"/>
  <c r="F129" i="10"/>
  <c r="H129" i="10" s="1"/>
  <c r="F31" i="10"/>
  <c r="H31" i="10" s="1"/>
  <c r="F30" i="10"/>
  <c r="H30" i="10" s="1"/>
  <c r="F368" i="10"/>
  <c r="H368" i="10" s="1"/>
  <c r="F363" i="10"/>
  <c r="H363" i="10" s="1"/>
  <c r="F305" i="10"/>
  <c r="H305" i="10" s="1"/>
  <c r="F198" i="10"/>
  <c r="H198" i="10" s="1"/>
  <c r="F194" i="10"/>
  <c r="H194" i="10" s="1"/>
  <c r="F184" i="10"/>
  <c r="H184" i="10" s="1"/>
  <c r="F154" i="10"/>
  <c r="H154" i="10" s="1"/>
  <c r="F71" i="10"/>
  <c r="H71" i="10" s="1"/>
  <c r="F177" i="10"/>
  <c r="H177" i="10" s="1"/>
  <c r="F135" i="10"/>
  <c r="H135" i="10" s="1"/>
  <c r="F85" i="10"/>
  <c r="H85" i="10" s="1"/>
  <c r="F35" i="10"/>
  <c r="H35" i="10" s="1"/>
  <c r="F102" i="10"/>
  <c r="H102" i="10" s="1"/>
  <c r="F3" i="10"/>
  <c r="H3" i="10" s="1"/>
  <c r="F115" i="10"/>
  <c r="H115" i="10" s="1"/>
  <c r="F110" i="10"/>
  <c r="H110" i="10" s="1"/>
  <c r="F101" i="10"/>
  <c r="H101" i="10" s="1"/>
  <c r="F75" i="10"/>
  <c r="H75" i="10" s="1"/>
  <c r="F5" i="10"/>
  <c r="H5" i="10" s="1"/>
  <c r="F24" i="10"/>
  <c r="H24" i="10" s="1"/>
  <c r="F350" i="10"/>
  <c r="H350" i="10" s="1"/>
  <c r="F318" i="10"/>
  <c r="H318" i="10" s="1"/>
  <c r="F309" i="10"/>
  <c r="H309" i="10" s="1"/>
  <c r="F243" i="10"/>
  <c r="H243" i="10" s="1"/>
  <c r="F271" i="10"/>
  <c r="H271" i="10" s="1"/>
  <c r="F304" i="10"/>
  <c r="H304" i="10" s="1"/>
  <c r="F295" i="10"/>
  <c r="H295" i="10" s="1"/>
  <c r="F242" i="10"/>
  <c r="H242" i="10" s="1"/>
  <c r="F259" i="10"/>
  <c r="H259" i="10" s="1"/>
  <c r="F236" i="10"/>
  <c r="H236" i="10" s="1"/>
  <c r="F225" i="10"/>
  <c r="H225" i="10" s="1"/>
  <c r="F183" i="10"/>
  <c r="H183" i="10" s="1"/>
  <c r="F203" i="10"/>
  <c r="H203" i="10" s="1"/>
  <c r="F109" i="10"/>
  <c r="H109" i="10" s="1"/>
  <c r="F182" i="10"/>
  <c r="H182" i="10" s="1"/>
  <c r="F72" i="10"/>
  <c r="H72" i="10" s="1"/>
  <c r="F161" i="10"/>
  <c r="H161" i="10" s="1"/>
  <c r="F34" i="10"/>
  <c r="H34" i="10" s="1"/>
  <c r="F15" i="10"/>
  <c r="H15" i="10" s="1"/>
  <c r="F28" i="10"/>
  <c r="H28" i="10" s="1"/>
  <c r="F106" i="10"/>
  <c r="H106" i="10" s="1"/>
  <c r="F51" i="10"/>
  <c r="H51" i="10" s="1"/>
  <c r="F11" i="10"/>
  <c r="H11" i="10" s="1"/>
  <c r="F23" i="10"/>
  <c r="H23" i="10" s="1"/>
  <c r="F19" i="10"/>
  <c r="H19" i="10" s="1"/>
  <c r="F337" i="10"/>
  <c r="H337" i="10" s="1"/>
  <c r="F336" i="10"/>
  <c r="H336" i="10" s="1"/>
  <c r="F314" i="10"/>
  <c r="H314" i="10" s="1"/>
  <c r="F287" i="10"/>
  <c r="H287" i="10" s="1"/>
  <c r="F294" i="10"/>
  <c r="H294" i="10" s="1"/>
  <c r="F276" i="10"/>
  <c r="H276" i="10" s="1"/>
  <c r="F257" i="10"/>
  <c r="H257" i="10" s="1"/>
  <c r="F248" i="10"/>
  <c r="H248" i="10" s="1"/>
  <c r="F238" i="10"/>
  <c r="H238" i="10" s="1"/>
  <c r="F202" i="10"/>
  <c r="H202" i="10" s="1"/>
  <c r="F224" i="10"/>
  <c r="H224" i="10" s="1"/>
  <c r="F214" i="10"/>
  <c r="H214" i="10" s="1"/>
  <c r="F173" i="10"/>
  <c r="H173" i="10" s="1"/>
  <c r="F193" i="10"/>
  <c r="H193" i="10" s="1"/>
  <c r="F166" i="10"/>
  <c r="H166" i="10" s="1"/>
  <c r="F140" i="10"/>
  <c r="H140" i="10" s="1"/>
  <c r="F84" i="10"/>
  <c r="H84" i="10" s="1"/>
  <c r="F92" i="10"/>
  <c r="H92" i="10" s="1"/>
  <c r="F58" i="10"/>
  <c r="H58" i="10" s="1"/>
  <c r="F41" i="10"/>
  <c r="H41" i="10" s="1"/>
  <c r="F68" i="10"/>
  <c r="H68" i="10" s="1"/>
  <c r="F372" i="10"/>
  <c r="H372" i="10" s="1"/>
  <c r="F367" i="10"/>
  <c r="H367" i="10" s="1"/>
  <c r="F366" i="10"/>
  <c r="H366" i="10" s="1"/>
  <c r="F355" i="10"/>
  <c r="H355" i="10" s="1"/>
  <c r="F349" i="10"/>
  <c r="H349" i="10" s="1"/>
  <c r="F332" i="10"/>
  <c r="H332" i="10" s="1"/>
  <c r="F321" i="10"/>
  <c r="H321" i="10" s="1"/>
  <c r="F297" i="10"/>
  <c r="H297" i="10" s="1"/>
  <c r="F290" i="10"/>
  <c r="H290" i="10" s="1"/>
  <c r="F283" i="10"/>
  <c r="H283" i="10" s="1"/>
  <c r="F247" i="10"/>
  <c r="H247" i="10" s="1"/>
  <c r="F160" i="10"/>
  <c r="H160" i="10" s="1"/>
  <c r="F145" i="10"/>
  <c r="H145" i="10" s="1"/>
  <c r="F208" i="10"/>
  <c r="H208" i="10" s="1"/>
  <c r="F181" i="10"/>
  <c r="H181" i="10" s="1"/>
  <c r="F144" i="10"/>
  <c r="H144" i="10" s="1"/>
  <c r="F141" i="10"/>
  <c r="H141" i="10" s="1"/>
  <c r="F152" i="10"/>
  <c r="H152" i="10" s="1"/>
  <c r="F134" i="10"/>
  <c r="H134" i="10" s="1"/>
  <c r="F33" i="10"/>
  <c r="H33" i="10" s="1"/>
  <c r="F91" i="10"/>
  <c r="H91" i="10" s="1"/>
  <c r="F27" i="10"/>
  <c r="H27" i="10" s="1"/>
  <c r="F40" i="10"/>
  <c r="H40" i="10" s="1"/>
  <c r="F22" i="10"/>
  <c r="H22" i="10" s="1"/>
  <c r="F378" i="10"/>
  <c r="H378" i="10" s="1"/>
  <c r="F371" i="10"/>
  <c r="H371" i="10" s="1"/>
  <c r="F365" i="10"/>
  <c r="H365" i="10" s="1"/>
  <c r="F358" i="10"/>
  <c r="H358" i="10" s="1"/>
  <c r="F354" i="10"/>
  <c r="H354" i="10" s="1"/>
  <c r="F348" i="10"/>
  <c r="H348" i="10" s="1"/>
  <c r="F328" i="10"/>
  <c r="H328" i="10" s="1"/>
  <c r="F286" i="10"/>
  <c r="H286" i="10" s="1"/>
  <c r="F293" i="10"/>
  <c r="H293" i="10" s="1"/>
  <c r="F246" i="10"/>
  <c r="H246" i="10" s="1"/>
  <c r="F235" i="10"/>
  <c r="H235" i="10" s="1"/>
  <c r="F252" i="10"/>
  <c r="H252" i="10" s="1"/>
  <c r="F172" i="10"/>
  <c r="H172" i="10" s="1"/>
  <c r="F176" i="10"/>
  <c r="H176" i="10" s="1"/>
  <c r="F213" i="10"/>
  <c r="H213" i="10" s="1"/>
  <c r="F187" i="10"/>
  <c r="H187" i="10" s="1"/>
  <c r="F151" i="10"/>
  <c r="H151" i="10" s="1"/>
  <c r="F143" i="10"/>
  <c r="H143" i="10" s="1"/>
  <c r="F117" i="10"/>
  <c r="H117" i="10" s="1"/>
  <c r="F131" i="10"/>
  <c r="H131" i="10" s="1"/>
  <c r="F120" i="10"/>
  <c r="H120" i="10" s="1"/>
  <c r="F37" i="10"/>
  <c r="H37" i="10" s="1"/>
  <c r="F77" i="10"/>
  <c r="H77" i="10" s="1"/>
  <c r="F44" i="10"/>
  <c r="H44" i="10" s="1"/>
  <c r="F65" i="10"/>
  <c r="H65" i="10" s="1"/>
  <c r="F377" i="10"/>
  <c r="H377" i="10" s="1"/>
  <c r="F376" i="10"/>
  <c r="H376" i="10" s="1"/>
  <c r="F375" i="10"/>
  <c r="H375" i="10" s="1"/>
  <c r="F362" i="10"/>
  <c r="H362" i="10" s="1"/>
  <c r="F322" i="10"/>
  <c r="H322" i="10" s="1"/>
  <c r="F275" i="10"/>
  <c r="H275" i="10" s="1"/>
  <c r="F284" i="10"/>
  <c r="H284" i="10" s="1"/>
  <c r="F255" i="10"/>
  <c r="H255" i="10" s="1"/>
  <c r="F188" i="10"/>
  <c r="H188" i="10" s="1"/>
  <c r="F223" i="10"/>
  <c r="H223" i="10" s="1"/>
  <c r="F158" i="10"/>
  <c r="H158" i="10" s="1"/>
  <c r="F180" i="10"/>
  <c r="H180" i="10" s="1"/>
  <c r="F18" i="10"/>
  <c r="H18" i="10" s="1"/>
  <c r="F49" i="10"/>
  <c r="H49" i="10" s="1"/>
  <c r="F80" i="10"/>
  <c r="H80" i="10" s="1"/>
  <c r="F119" i="10"/>
  <c r="H119" i="10" s="1"/>
  <c r="F10" i="10"/>
  <c r="H10" i="10" s="1"/>
  <c r="F39" i="10"/>
  <c r="H39" i="10" s="1"/>
  <c r="F2" i="10"/>
  <c r="H2" i="10" s="1"/>
  <c r="F54" i="10"/>
  <c r="H54" i="10" s="1"/>
  <c r="F36" i="10"/>
  <c r="H36" i="10" s="1"/>
  <c r="F8" i="10"/>
  <c r="H8" i="10" s="1"/>
  <c r="F7" i="10"/>
  <c r="H7" i="10" s="1"/>
  <c r="F347" i="10"/>
  <c r="H347" i="10" s="1"/>
  <c r="F313" i="10"/>
  <c r="H313" i="10" s="1"/>
  <c r="F374" i="10"/>
  <c r="H374" i="10" s="1"/>
  <c r="F353" i="10"/>
  <c r="H353" i="10" s="1"/>
  <c r="F341" i="10"/>
  <c r="H341" i="10" s="1"/>
  <c r="F303" i="10"/>
  <c r="H303" i="10" s="1"/>
  <c r="F292" i="10"/>
  <c r="H292" i="10" s="1"/>
  <c r="F302" i="10"/>
  <c r="H302" i="10" s="1"/>
  <c r="F274" i="10"/>
  <c r="H274" i="10" s="1"/>
  <c r="F282" i="10"/>
  <c r="H282" i="10" s="1"/>
  <c r="F254" i="10"/>
  <c r="H254" i="10" s="1"/>
  <c r="F240" i="10"/>
  <c r="H240" i="10" s="1"/>
  <c r="F232" i="10"/>
  <c r="H232" i="10" s="1"/>
  <c r="F207" i="10"/>
  <c r="H207" i="10" s="1"/>
  <c r="F222" i="10"/>
  <c r="H222" i="10" s="1"/>
  <c r="F218" i="10"/>
  <c r="H218" i="10" s="1"/>
  <c r="F174" i="10"/>
  <c r="H174" i="10" s="1"/>
  <c r="F206" i="10"/>
  <c r="H206" i="10" s="1"/>
  <c r="F201" i="10"/>
  <c r="H201" i="10" s="1"/>
  <c r="F47" i="10"/>
  <c r="H47" i="10" s="1"/>
  <c r="F171" i="10"/>
  <c r="H171" i="10" s="1"/>
  <c r="F170" i="10"/>
  <c r="H170" i="10" s="1"/>
  <c r="F108" i="10"/>
  <c r="H108" i="10" s="1"/>
  <c r="F67" i="10"/>
  <c r="H67" i="10" s="1"/>
  <c r="F357" i="10"/>
  <c r="H357" i="10" s="1"/>
  <c r="F325" i="10"/>
  <c r="H325" i="10" s="1"/>
  <c r="F317" i="10"/>
  <c r="H317" i="10" s="1"/>
  <c r="F316" i="10"/>
  <c r="H316" i="10" s="1"/>
  <c r="F299" i="10"/>
  <c r="H299" i="10" s="1"/>
  <c r="F234" i="10"/>
  <c r="H234" i="10" s="1"/>
  <c r="F262" i="10"/>
  <c r="H262" i="10" s="1"/>
  <c r="F258" i="10"/>
  <c r="H258" i="10" s="1"/>
  <c r="F261" i="10"/>
  <c r="H261" i="10" s="1"/>
  <c r="F241" i="10"/>
  <c r="H241" i="10" s="1"/>
  <c r="F212" i="10"/>
  <c r="H212" i="10" s="1"/>
  <c r="F245" i="10"/>
  <c r="H245" i="10" s="1"/>
  <c r="F233" i="10"/>
  <c r="H233" i="10" s="1"/>
  <c r="F123" i="10"/>
  <c r="H123" i="10" s="1"/>
  <c r="F81" i="10"/>
  <c r="H81" i="10" s="1"/>
  <c r="F57" i="10"/>
  <c r="H57" i="10" s="1"/>
  <c r="F175" i="10"/>
  <c r="H175" i="10" s="1"/>
  <c r="F64" i="10"/>
  <c r="H64" i="10" s="1"/>
  <c r="F157" i="10"/>
  <c r="H157" i="10" s="1"/>
  <c r="F155" i="10"/>
  <c r="H155" i="10" s="1"/>
  <c r="F156" i="10"/>
  <c r="H156" i="10" s="1"/>
  <c r="F114" i="10"/>
  <c r="H114" i="10" s="1"/>
  <c r="F105" i="10"/>
  <c r="H105" i="10" s="1"/>
  <c r="F4" i="10"/>
  <c r="H4" i="10" s="1"/>
  <c r="F9" i="10"/>
  <c r="H9" i="10" s="1"/>
  <c r="F56" i="10"/>
  <c r="H56" i="10" s="1"/>
  <c r="F53" i="10"/>
  <c r="H53" i="10" s="1"/>
  <c r="M13" i="3" l="1"/>
  <c r="AM66" i="6" s="1"/>
  <c r="M14" i="3"/>
  <c r="M15" i="3"/>
  <c r="M16" i="3"/>
  <c r="M17" i="3"/>
  <c r="AI66" i="6" s="1"/>
  <c r="M18" i="3"/>
  <c r="M19" i="3"/>
  <c r="AC65" i="6" s="1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B6" i="6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B9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B12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B13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B14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B17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B2" i="6"/>
  <c r="AL66" i="6"/>
  <c r="AK66" i="6"/>
  <c r="AJ66" i="6"/>
  <c r="AH66" i="6"/>
  <c r="AE66" i="6"/>
  <c r="AD66" i="6"/>
  <c r="AC66" i="6"/>
  <c r="AB66" i="6"/>
  <c r="AA66" i="6"/>
  <c r="X66" i="6"/>
  <c r="T66" i="6"/>
  <c r="P66" i="6"/>
  <c r="O66" i="6"/>
  <c r="N66" i="6"/>
  <c r="L66" i="6"/>
  <c r="J66" i="6"/>
  <c r="H66" i="6"/>
  <c r="G66" i="6"/>
  <c r="E66" i="6"/>
  <c r="D66" i="6"/>
  <c r="C66" i="6"/>
  <c r="AM65" i="6"/>
  <c r="AL65" i="6"/>
  <c r="AK65" i="6"/>
  <c r="AH65" i="6"/>
  <c r="AF65" i="6"/>
  <c r="AA65" i="6"/>
  <c r="Z65" i="6"/>
  <c r="Y65" i="6"/>
  <c r="U65" i="6"/>
  <c r="T65" i="6"/>
  <c r="S65" i="6"/>
  <c r="R65" i="6"/>
  <c r="Q65" i="6"/>
  <c r="L65" i="6"/>
  <c r="K65" i="6"/>
  <c r="J65" i="6"/>
  <c r="I65" i="6"/>
  <c r="G65" i="6"/>
  <c r="F65" i="6"/>
  <c r="E65" i="6"/>
  <c r="AM63" i="6"/>
  <c r="AL63" i="6"/>
  <c r="AI63" i="6"/>
  <c r="AH63" i="6"/>
  <c r="AG63" i="6"/>
  <c r="AE63" i="6"/>
  <c r="AB63" i="6"/>
  <c r="Z63" i="6"/>
  <c r="W63" i="6"/>
  <c r="U63" i="6"/>
  <c r="S63" i="6"/>
  <c r="R63" i="6"/>
  <c r="Q63" i="6"/>
  <c r="P63" i="6"/>
  <c r="N63" i="6"/>
  <c r="M63" i="6"/>
  <c r="J63" i="6"/>
  <c r="I63" i="6"/>
  <c r="E63" i="6"/>
  <c r="B63" i="6"/>
  <c r="AM62" i="6"/>
  <c r="AK62" i="6"/>
  <c r="AJ62" i="6"/>
  <c r="AF62" i="6"/>
  <c r="AB62" i="6"/>
  <c r="Z62" i="6"/>
  <c r="Y62" i="6"/>
  <c r="W62" i="6"/>
  <c r="T62" i="6"/>
  <c r="S62" i="6"/>
  <c r="R62" i="6"/>
  <c r="Q62" i="6"/>
  <c r="P62" i="6"/>
  <c r="N62" i="6"/>
  <c r="H62" i="6"/>
  <c r="G62" i="6"/>
  <c r="F62" i="6"/>
  <c r="D62" i="6"/>
  <c r="C62" i="6"/>
  <c r="AM57" i="6"/>
  <c r="AH57" i="6"/>
  <c r="AG57" i="6"/>
  <c r="AE57" i="6"/>
  <c r="AD57" i="6"/>
  <c r="AC57" i="6"/>
  <c r="AB57" i="6"/>
  <c r="AA57" i="6"/>
  <c r="W57" i="6"/>
  <c r="V57" i="6"/>
  <c r="U57" i="6"/>
  <c r="R57" i="6"/>
  <c r="Q57" i="6"/>
  <c r="O57" i="6"/>
  <c r="M57" i="6"/>
  <c r="L57" i="6"/>
  <c r="K57" i="6"/>
  <c r="J57" i="6"/>
  <c r="H57" i="6"/>
  <c r="E57" i="6"/>
  <c r="B57" i="6"/>
  <c r="AL55" i="6"/>
  <c r="AJ55" i="6"/>
  <c r="AI55" i="6"/>
  <c r="AH55" i="6"/>
  <c r="AF55" i="6"/>
  <c r="AD55" i="6"/>
  <c r="AC55" i="6"/>
  <c r="AA55" i="6"/>
  <c r="Z55" i="6"/>
  <c r="X55" i="6"/>
  <c r="U55" i="6"/>
  <c r="T55" i="6"/>
  <c r="P55" i="6"/>
  <c r="N55" i="6"/>
  <c r="M55" i="6"/>
  <c r="J55" i="6"/>
  <c r="I55" i="6"/>
  <c r="H55" i="6"/>
  <c r="F55" i="6"/>
  <c r="E55" i="6"/>
  <c r="D55" i="6"/>
  <c r="F57" i="6" l="1"/>
  <c r="I62" i="6"/>
  <c r="O62" i="6"/>
  <c r="X62" i="6"/>
  <c r="F63" i="6"/>
  <c r="AJ63" i="6"/>
  <c r="K55" i="6"/>
  <c r="V55" i="6"/>
  <c r="D57" i="6"/>
  <c r="B65" i="6"/>
  <c r="B66" i="6"/>
  <c r="M66" i="6"/>
  <c r="W55" i="6"/>
  <c r="AG55" i="6"/>
  <c r="N57" i="6"/>
  <c r="Y63" i="6"/>
  <c r="AD63" i="6"/>
  <c r="C55" i="6"/>
  <c r="G55" i="6"/>
  <c r="O55" i="6"/>
  <c r="S55" i="6"/>
  <c r="AE55" i="6"/>
  <c r="AI57" i="6"/>
  <c r="M62" i="6"/>
  <c r="U62" i="6"/>
  <c r="AC62" i="6"/>
  <c r="AG62" i="6"/>
  <c r="C63" i="6"/>
  <c r="O63" i="6"/>
  <c r="AA63" i="6"/>
  <c r="O65" i="6"/>
  <c r="AE65" i="6"/>
  <c r="AI65" i="6"/>
  <c r="I66" i="6"/>
  <c r="U66" i="6"/>
  <c r="Y66" i="6"/>
  <c r="AG66" i="6"/>
  <c r="AB55" i="6"/>
  <c r="P57" i="6"/>
  <c r="T57" i="6"/>
  <c r="X57" i="6"/>
  <c r="AF57" i="6"/>
  <c r="B62" i="6"/>
  <c r="AL62" i="6"/>
  <c r="D63" i="6"/>
  <c r="L63" i="6"/>
  <c r="T63" i="6"/>
  <c r="X63" i="6"/>
  <c r="AF63" i="6"/>
  <c r="D65" i="6"/>
  <c r="H65" i="6"/>
  <c r="X65" i="6"/>
  <c r="AB65" i="6"/>
  <c r="AJ65" i="6"/>
  <c r="F66" i="6"/>
  <c r="R66" i="6"/>
  <c r="Q55" i="6"/>
  <c r="I57" i="6"/>
  <c r="Y57" i="6"/>
  <c r="AK57" i="6"/>
  <c r="K62" i="6"/>
  <c r="AA62" i="6"/>
  <c r="AE62" i="6"/>
  <c r="AI62" i="6"/>
  <c r="M65" i="6"/>
  <c r="AG65" i="6"/>
  <c r="K66" i="6"/>
  <c r="M29" i="3"/>
  <c r="M30" i="3"/>
  <c r="M31" i="3"/>
  <c r="M32" i="3"/>
  <c r="M33" i="3"/>
  <c r="M34" i="3"/>
  <c r="M35" i="3"/>
  <c r="M28" i="3"/>
  <c r="M21" i="3"/>
  <c r="M22" i="3"/>
  <c r="M23" i="3"/>
  <c r="M24" i="3"/>
  <c r="M25" i="3"/>
  <c r="M26" i="3"/>
  <c r="M27" i="3"/>
  <c r="M20" i="3"/>
  <c r="M12" i="3"/>
  <c r="M11" i="3"/>
  <c r="M10" i="3"/>
  <c r="M9" i="3"/>
  <c r="M8" i="3"/>
  <c r="M7" i="3"/>
  <c r="M6" i="3"/>
  <c r="M5" i="3"/>
  <c r="B29" i="1"/>
  <c r="M4" i="3"/>
  <c r="B27" i="1"/>
  <c r="C27" i="1"/>
  <c r="D27" i="1"/>
  <c r="E27" i="1"/>
  <c r="F27" i="1"/>
  <c r="G27" i="1"/>
  <c r="H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D27" i="1"/>
  <c r="AE27" i="1"/>
  <c r="AF27" i="1"/>
  <c r="AG27" i="1"/>
  <c r="AH27" i="1"/>
  <c r="AI27" i="1"/>
  <c r="AK27" i="1"/>
  <c r="AL27" i="1"/>
  <c r="AM27" i="1"/>
  <c r="B28" i="1"/>
  <c r="C28" i="1"/>
  <c r="D28" i="1"/>
  <c r="E28" i="1"/>
  <c r="F28" i="1"/>
  <c r="G28" i="1"/>
  <c r="H28" i="1"/>
  <c r="I28" i="1"/>
  <c r="L28" i="1"/>
  <c r="M28" i="1"/>
  <c r="N28" i="1"/>
  <c r="Q28" i="1"/>
  <c r="R28" i="1"/>
  <c r="S28" i="1"/>
  <c r="U28" i="1"/>
  <c r="V28" i="1"/>
  <c r="W28" i="1"/>
  <c r="X28" i="1"/>
  <c r="Y28" i="1"/>
  <c r="Z28" i="1"/>
  <c r="AB28" i="1"/>
  <c r="AD28" i="1"/>
  <c r="AF28" i="1"/>
  <c r="AG28" i="1"/>
  <c r="AH28" i="1"/>
  <c r="AJ28" i="1"/>
  <c r="AK28" i="1"/>
  <c r="AL28" i="1"/>
  <c r="C29" i="1"/>
  <c r="D29" i="1"/>
  <c r="E29" i="1"/>
  <c r="F29" i="1"/>
  <c r="G29" i="1"/>
  <c r="H29" i="1"/>
  <c r="I29" i="1"/>
  <c r="J29" i="1"/>
  <c r="K29" i="1"/>
  <c r="M29" i="1"/>
  <c r="O29" i="1"/>
  <c r="Q29" i="1"/>
  <c r="T29" i="1"/>
  <c r="U29" i="1"/>
  <c r="V29" i="1"/>
  <c r="X29" i="1"/>
  <c r="Y29" i="1"/>
  <c r="Z29" i="1"/>
  <c r="AB29" i="1"/>
  <c r="AC29" i="1"/>
  <c r="AE29" i="1"/>
  <c r="AF29" i="1"/>
  <c r="AG29" i="1"/>
  <c r="AH29" i="1"/>
  <c r="AI29" i="1"/>
  <c r="AJ29" i="1"/>
  <c r="AL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R30" i="1"/>
  <c r="S30" i="1"/>
  <c r="T30" i="1"/>
  <c r="U30" i="1"/>
  <c r="V30" i="1"/>
  <c r="W30" i="1"/>
  <c r="X30" i="1"/>
  <c r="Y30" i="1"/>
  <c r="Z30" i="1"/>
  <c r="AA30" i="1"/>
  <c r="AB30" i="1"/>
  <c r="AC30" i="1"/>
  <c r="AE30" i="1"/>
  <c r="AF30" i="1"/>
  <c r="AG30" i="1"/>
  <c r="AH30" i="1"/>
  <c r="AI30" i="1"/>
  <c r="AJ30" i="1"/>
  <c r="AK30" i="1"/>
  <c r="AM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B32" i="1"/>
  <c r="C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Z32" i="1"/>
  <c r="AA32" i="1"/>
  <c r="AB32" i="1"/>
  <c r="AC32" i="1"/>
  <c r="AD32" i="1"/>
  <c r="AE32" i="1"/>
  <c r="AF32" i="1"/>
  <c r="AH32" i="1"/>
  <c r="AI32" i="1"/>
  <c r="AK32" i="1"/>
  <c r="AL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B34" i="1"/>
  <c r="C34" i="1"/>
  <c r="D34" i="1"/>
  <c r="F34" i="1"/>
  <c r="G34" i="1"/>
  <c r="H34" i="1"/>
  <c r="K34" i="1"/>
  <c r="M34" i="1"/>
  <c r="P34" i="1"/>
  <c r="R34" i="1"/>
  <c r="S34" i="1"/>
  <c r="T34" i="1"/>
  <c r="U34" i="1"/>
  <c r="W34" i="1"/>
  <c r="X34" i="1"/>
  <c r="Y34" i="1"/>
  <c r="AB34" i="1"/>
  <c r="AC34" i="1"/>
  <c r="AD34" i="1"/>
  <c r="AE34" i="1"/>
  <c r="AF34" i="1"/>
  <c r="AG34" i="1"/>
  <c r="AH34" i="1"/>
  <c r="AI34" i="1"/>
  <c r="AK34" i="1"/>
  <c r="AL34" i="1"/>
  <c r="AM34" i="1"/>
  <c r="C35" i="1"/>
  <c r="E35" i="1"/>
  <c r="G35" i="1"/>
  <c r="I35" i="1"/>
  <c r="J35" i="1"/>
  <c r="K35" i="1"/>
  <c r="L35" i="1"/>
  <c r="M35" i="1"/>
  <c r="N35" i="1"/>
  <c r="O35" i="1"/>
  <c r="P35" i="1"/>
  <c r="Q35" i="1"/>
  <c r="S35" i="1"/>
  <c r="T35" i="1"/>
  <c r="V35" i="1"/>
  <c r="W35" i="1"/>
  <c r="Z35" i="1"/>
  <c r="AA35" i="1"/>
  <c r="AB35" i="1"/>
  <c r="AC35" i="1"/>
  <c r="AD35" i="1"/>
  <c r="AE35" i="1"/>
  <c r="AF35" i="1"/>
  <c r="AH35" i="1"/>
  <c r="AI35" i="1"/>
  <c r="AJ35" i="1"/>
  <c r="AK35" i="1"/>
  <c r="AL35" i="1"/>
  <c r="C36" i="1"/>
  <c r="E36" i="1"/>
  <c r="F36" i="1"/>
  <c r="G36" i="1"/>
  <c r="H36" i="1"/>
  <c r="J36" i="1"/>
  <c r="K36" i="1"/>
  <c r="M36" i="1"/>
  <c r="N36" i="1"/>
  <c r="O36" i="1"/>
  <c r="Q36" i="1"/>
  <c r="R36" i="1"/>
  <c r="S36" i="1"/>
  <c r="T36" i="1"/>
  <c r="U36" i="1"/>
  <c r="V36" i="1"/>
  <c r="W36" i="1"/>
  <c r="X36" i="1"/>
  <c r="Y36" i="1"/>
  <c r="Z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B37" i="1"/>
  <c r="C37" i="1"/>
  <c r="E37" i="1"/>
  <c r="F37" i="1"/>
  <c r="G37" i="1"/>
  <c r="H37" i="1"/>
  <c r="I37" i="1"/>
  <c r="J37" i="1"/>
  <c r="K37" i="1"/>
  <c r="L37" i="1"/>
  <c r="M37" i="1"/>
  <c r="O37" i="1"/>
  <c r="P37" i="1"/>
  <c r="Q37" i="1"/>
  <c r="S37" i="1"/>
  <c r="T37" i="1"/>
  <c r="U37" i="1"/>
  <c r="V37" i="1"/>
  <c r="W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B40" i="1"/>
  <c r="C40" i="1"/>
  <c r="E40" i="1"/>
  <c r="G40" i="1"/>
  <c r="H40" i="1"/>
  <c r="I40" i="1"/>
  <c r="J40" i="1"/>
  <c r="K40" i="1"/>
  <c r="L40" i="1"/>
  <c r="N40" i="1"/>
  <c r="O40" i="1"/>
  <c r="P40" i="1"/>
  <c r="Q40" i="1"/>
  <c r="R40" i="1"/>
  <c r="S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B43" i="1"/>
  <c r="C43" i="1"/>
  <c r="E43" i="1"/>
  <c r="G43" i="1"/>
  <c r="H43" i="1"/>
  <c r="I43" i="1"/>
  <c r="J43" i="1"/>
  <c r="K43" i="1"/>
  <c r="L43" i="1"/>
  <c r="M43" i="1"/>
  <c r="N43" i="1"/>
  <c r="O43" i="1"/>
  <c r="P43" i="1"/>
  <c r="Q43" i="1"/>
  <c r="S43" i="1"/>
  <c r="U43" i="1"/>
  <c r="V43" i="1"/>
  <c r="W43" i="1"/>
  <c r="X43" i="1"/>
  <c r="Y43" i="1"/>
  <c r="Z43" i="1"/>
  <c r="AA43" i="1"/>
  <c r="AB43" i="1"/>
  <c r="AC43" i="1"/>
  <c r="AD43" i="1"/>
  <c r="AE43" i="1"/>
  <c r="AG43" i="1"/>
  <c r="AI43" i="1"/>
  <c r="AJ43" i="1"/>
  <c r="AK43" i="1"/>
  <c r="AL43" i="1"/>
  <c r="AM43" i="1"/>
  <c r="B44" i="1"/>
  <c r="C44" i="1"/>
  <c r="D44" i="1"/>
  <c r="E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V26" i="1"/>
  <c r="W26" i="1"/>
  <c r="X26" i="1"/>
  <c r="Y26" i="1"/>
  <c r="Z26" i="1"/>
  <c r="AB26" i="1"/>
  <c r="AC26" i="1"/>
  <c r="AD26" i="1"/>
  <c r="AE26" i="1"/>
  <c r="AF26" i="1"/>
  <c r="AH26" i="1"/>
  <c r="AI26" i="1"/>
  <c r="AJ26" i="1"/>
  <c r="AL26" i="1"/>
  <c r="AM26" i="1"/>
  <c r="B26" i="1"/>
  <c r="N29" i="1" l="1"/>
  <c r="AM59" i="6"/>
  <c r="AK59" i="6"/>
  <c r="AC59" i="6"/>
  <c r="R59" i="6"/>
  <c r="H59" i="6"/>
  <c r="D59" i="6"/>
  <c r="Z58" i="6"/>
  <c r="S58" i="6"/>
  <c r="L58" i="6"/>
  <c r="J58" i="6"/>
  <c r="I58" i="6"/>
  <c r="E58" i="6"/>
  <c r="AM53" i="6"/>
  <c r="AA53" i="6"/>
  <c r="S53" i="6"/>
  <c r="R53" i="6"/>
  <c r="P53" i="6"/>
  <c r="N53" i="6"/>
  <c r="AK50" i="6"/>
  <c r="AG50" i="6"/>
  <c r="AA50" i="6"/>
  <c r="U50" i="6"/>
  <c r="T50" i="6"/>
  <c r="P50" i="6"/>
  <c r="AL59" i="6"/>
  <c r="AA59" i="6"/>
  <c r="V59" i="6"/>
  <c r="Q59" i="6"/>
  <c r="O59" i="6"/>
  <c r="N59" i="6"/>
  <c r="AG58" i="6"/>
  <c r="AE58" i="6"/>
  <c r="AB58" i="6"/>
  <c r="Y58" i="6"/>
  <c r="U58" i="6"/>
  <c r="T58" i="6"/>
  <c r="AL53" i="6"/>
  <c r="AJ53" i="6"/>
  <c r="AC53" i="6"/>
  <c r="Y53" i="6"/>
  <c r="Q53" i="6"/>
  <c r="H53" i="6"/>
  <c r="AJ50" i="6"/>
  <c r="Z50" i="6"/>
  <c r="O50" i="6"/>
  <c r="J50" i="6"/>
  <c r="H50" i="6"/>
  <c r="E50" i="6"/>
  <c r="AI59" i="6"/>
  <c r="AE59" i="6"/>
  <c r="P59" i="6"/>
  <c r="M59" i="6"/>
  <c r="AH58" i="6"/>
  <c r="AD58" i="6"/>
  <c r="W58" i="6"/>
  <c r="G58" i="6"/>
  <c r="AF53" i="6"/>
  <c r="V53" i="6"/>
  <c r="J53" i="6"/>
  <c r="E53" i="6"/>
  <c r="AM50" i="6"/>
  <c r="AI50" i="6"/>
  <c r="AE50" i="6"/>
  <c r="B50" i="6"/>
  <c r="AJ59" i="6"/>
  <c r="AD59" i="6"/>
  <c r="L59" i="6"/>
  <c r="C59" i="6"/>
  <c r="X58" i="6"/>
  <c r="M58" i="6"/>
  <c r="F58" i="6"/>
  <c r="B58" i="6"/>
  <c r="AG53" i="6"/>
  <c r="U53" i="6"/>
  <c r="K53" i="6"/>
  <c r="D53" i="6"/>
  <c r="AH50" i="6"/>
  <c r="Q50" i="6"/>
  <c r="N50" i="6"/>
  <c r="C50" i="6"/>
  <c r="AD29" i="1"/>
  <c r="Q34" i="1"/>
  <c r="AG59" i="6"/>
  <c r="Y59" i="6"/>
  <c r="X59" i="6"/>
  <c r="U59" i="6"/>
  <c r="F59" i="6"/>
  <c r="B59" i="6"/>
  <c r="AJ58" i="6"/>
  <c r="AA58" i="6"/>
  <c r="V58" i="6"/>
  <c r="Q58" i="6"/>
  <c r="O58" i="6"/>
  <c r="N58" i="6"/>
  <c r="AK53" i="6"/>
  <c r="AD53" i="6"/>
  <c r="W53" i="6"/>
  <c r="L53" i="6"/>
  <c r="I53" i="6"/>
  <c r="B53" i="6"/>
  <c r="AC50" i="6"/>
  <c r="Y50" i="6"/>
  <c r="M50" i="6"/>
  <c r="K50" i="6"/>
  <c r="F50" i="6"/>
  <c r="D50" i="6"/>
  <c r="AH59" i="6"/>
  <c r="W59" i="6"/>
  <c r="S59" i="6"/>
  <c r="J59" i="6"/>
  <c r="G59" i="6"/>
  <c r="E59" i="6"/>
  <c r="AM58" i="6"/>
  <c r="AK58" i="6"/>
  <c r="AC58" i="6"/>
  <c r="P58" i="6"/>
  <c r="H58" i="6"/>
  <c r="D58" i="6"/>
  <c r="AH53" i="6"/>
  <c r="AE53" i="6"/>
  <c r="AB53" i="6"/>
  <c r="O53" i="6"/>
  <c r="M53" i="6"/>
  <c r="F53" i="6"/>
  <c r="AF50" i="6"/>
  <c r="AD50" i="6"/>
  <c r="W50" i="6"/>
  <c r="V50" i="6"/>
  <c r="S50" i="6"/>
  <c r="L50" i="6"/>
  <c r="AB59" i="6"/>
  <c r="T59" i="6"/>
  <c r="K59" i="6"/>
  <c r="AL58" i="6"/>
  <c r="AF58" i="6"/>
  <c r="C58" i="6"/>
  <c r="AI53" i="6"/>
  <c r="Z53" i="6"/>
  <c r="G53" i="6"/>
  <c r="X50" i="6"/>
  <c r="R50" i="6"/>
  <c r="I50" i="6"/>
  <c r="AF59" i="6"/>
  <c r="Z59" i="6"/>
  <c r="I59" i="6"/>
  <c r="AI58" i="6"/>
  <c r="R58" i="6"/>
  <c r="K58" i="6"/>
  <c r="X53" i="6"/>
  <c r="T53" i="6"/>
  <c r="C53" i="6"/>
  <c r="AL50" i="6"/>
  <c r="AB50" i="6"/>
  <c r="G50" i="6"/>
  <c r="AF66" i="6"/>
  <c r="Z66" i="6"/>
  <c r="W66" i="6"/>
  <c r="V66" i="6"/>
  <c r="S66" i="6"/>
  <c r="Q66" i="6"/>
  <c r="AD65" i="6"/>
  <c r="W65" i="6"/>
  <c r="V65" i="6"/>
  <c r="P65" i="6"/>
  <c r="N65" i="6"/>
  <c r="C65" i="6"/>
  <c r="AK63" i="6"/>
  <c r="AC63" i="6"/>
  <c r="V63" i="6"/>
  <c r="K63" i="6"/>
  <c r="H63" i="6"/>
  <c r="G63" i="6"/>
  <c r="AH62" i="6"/>
  <c r="AD62" i="6"/>
  <c r="V62" i="6"/>
  <c r="L62" i="6"/>
  <c r="J62" i="6"/>
  <c r="E62" i="6"/>
  <c r="AL57" i="6"/>
  <c r="AJ57" i="6"/>
  <c r="Z57" i="6"/>
  <c r="S57" i="6"/>
  <c r="G57" i="6"/>
  <c r="C57" i="6"/>
  <c r="AM55" i="6"/>
  <c r="AK55" i="6"/>
  <c r="Y55" i="6"/>
  <c r="R55" i="6"/>
  <c r="L55" i="6"/>
  <c r="B55" i="6"/>
  <c r="AE69" i="6"/>
  <c r="AB69" i="6"/>
  <c r="H69" i="6"/>
  <c r="F69" i="6"/>
  <c r="D69" i="6"/>
  <c r="C69" i="6"/>
  <c r="AI68" i="6"/>
  <c r="AF68" i="6"/>
  <c r="T68" i="6"/>
  <c r="R68" i="6"/>
  <c r="L68" i="6"/>
  <c r="J68" i="6"/>
  <c r="AH54" i="6"/>
  <c r="AF54" i="6"/>
  <c r="AA54" i="6"/>
  <c r="Y54" i="6"/>
  <c r="O54" i="6"/>
  <c r="N54" i="6"/>
  <c r="AL51" i="6"/>
  <c r="AH51" i="6"/>
  <c r="Z51" i="6"/>
  <c r="W51" i="6"/>
  <c r="O51" i="6"/>
  <c r="E51" i="6"/>
  <c r="AF69" i="6"/>
  <c r="P69" i="6"/>
  <c r="G69" i="6"/>
  <c r="B69" i="6"/>
  <c r="AH68" i="6"/>
  <c r="AE68" i="6"/>
  <c r="V68" i="6"/>
  <c r="M68" i="6"/>
  <c r="AI54" i="6"/>
  <c r="AE54" i="6"/>
  <c r="W54" i="6"/>
  <c r="E54" i="6"/>
  <c r="AM51" i="6"/>
  <c r="AI51" i="6"/>
  <c r="AD51" i="6"/>
  <c r="J51" i="6"/>
  <c r="AJ69" i="6"/>
  <c r="AH69" i="6"/>
  <c r="X69" i="6"/>
  <c r="K69" i="6"/>
  <c r="AD68" i="6"/>
  <c r="N68" i="6"/>
  <c r="D68" i="6"/>
  <c r="B68" i="6"/>
  <c r="U54" i="6"/>
  <c r="L54" i="6"/>
  <c r="F54" i="6"/>
  <c r="C54" i="6"/>
  <c r="AG51" i="6"/>
  <c r="Q51" i="6"/>
  <c r="M51" i="6"/>
  <c r="C51" i="6"/>
  <c r="AM69" i="6"/>
  <c r="AD69" i="6"/>
  <c r="Z69" i="6"/>
  <c r="R69" i="6"/>
  <c r="N69" i="6"/>
  <c r="E69" i="6"/>
  <c r="AJ68" i="6"/>
  <c r="AA68" i="6"/>
  <c r="W68" i="6"/>
  <c r="S68" i="6"/>
  <c r="Q68" i="6"/>
  <c r="E68" i="6"/>
  <c r="AM54" i="6"/>
  <c r="Z54" i="6"/>
  <c r="R54" i="6"/>
  <c r="P54" i="6"/>
  <c r="M54" i="6"/>
  <c r="G54" i="6"/>
  <c r="AF51" i="6"/>
  <c r="AB51" i="6"/>
  <c r="P51" i="6"/>
  <c r="N51" i="6"/>
  <c r="L51" i="6"/>
  <c r="H51" i="6"/>
  <c r="AJ27" i="1"/>
  <c r="AL69" i="6"/>
  <c r="AC69" i="6"/>
  <c r="U69" i="6"/>
  <c r="T69" i="6"/>
  <c r="Q69" i="6"/>
  <c r="M69" i="6"/>
  <c r="AM68" i="6"/>
  <c r="Y68" i="6"/>
  <c r="U68" i="6"/>
  <c r="P68" i="6"/>
  <c r="H68" i="6"/>
  <c r="F68" i="6"/>
  <c r="AL54" i="6"/>
  <c r="AJ54" i="6"/>
  <c r="AD54" i="6"/>
  <c r="X54" i="6"/>
  <c r="T54" i="6"/>
  <c r="Q54" i="6"/>
  <c r="AJ51" i="6"/>
  <c r="AE51" i="6"/>
  <c r="AC51" i="6"/>
  <c r="AA51" i="6"/>
  <c r="K51" i="6"/>
  <c r="I51" i="6"/>
  <c r="AK69" i="6"/>
  <c r="S69" i="6"/>
  <c r="J69" i="6"/>
  <c r="O68" i="6"/>
  <c r="I68" i="6"/>
  <c r="G68" i="6"/>
  <c r="AG54" i="6"/>
  <c r="AB54" i="6"/>
  <c r="V54" i="6"/>
  <c r="Y51" i="6"/>
  <c r="X51" i="6"/>
  <c r="D51" i="6"/>
  <c r="AG69" i="6"/>
  <c r="Y69" i="6"/>
  <c r="O69" i="6"/>
  <c r="AK68" i="6"/>
  <c r="AB68" i="6"/>
  <c r="X68" i="6"/>
  <c r="J54" i="6"/>
  <c r="I54" i="6"/>
  <c r="D54" i="6"/>
  <c r="V51" i="6"/>
  <c r="S51" i="6"/>
  <c r="G51" i="6"/>
  <c r="AI69" i="6"/>
  <c r="AA69" i="6"/>
  <c r="W69" i="6"/>
  <c r="V69" i="6"/>
  <c r="L69" i="6"/>
  <c r="I69" i="6"/>
  <c r="AL68" i="6"/>
  <c r="AG68" i="6"/>
  <c r="AC68" i="6"/>
  <c r="Z68" i="6"/>
  <c r="K68" i="6"/>
  <c r="C68" i="6"/>
  <c r="AK54" i="6"/>
  <c r="AC54" i="6"/>
  <c r="S54" i="6"/>
  <c r="K54" i="6"/>
  <c r="H54" i="6"/>
  <c r="B54" i="6"/>
  <c r="AK51" i="6"/>
  <c r="U51" i="6"/>
  <c r="T51" i="6"/>
  <c r="R51" i="6"/>
  <c r="F51" i="6"/>
  <c r="B51" i="6"/>
  <c r="AM67" i="6"/>
  <c r="AD67" i="6"/>
  <c r="AB67" i="6"/>
  <c r="X67" i="6"/>
  <c r="P67" i="6"/>
  <c r="AH64" i="6"/>
  <c r="X64" i="6"/>
  <c r="Q64" i="6"/>
  <c r="K64" i="6"/>
  <c r="C64" i="6"/>
  <c r="AJ61" i="6"/>
  <c r="AI61" i="6"/>
  <c r="AG61" i="6"/>
  <c r="I61" i="6"/>
  <c r="F61" i="6"/>
  <c r="AF60" i="6"/>
  <c r="AD60" i="6"/>
  <c r="N60" i="6"/>
  <c r="J60" i="6"/>
  <c r="G60" i="6"/>
  <c r="AE56" i="6"/>
  <c r="AB56" i="6"/>
  <c r="U56" i="6"/>
  <c r="M56" i="6"/>
  <c r="B56" i="6"/>
  <c r="W52" i="6"/>
  <c r="M52" i="6"/>
  <c r="I52" i="6"/>
  <c r="G52" i="6"/>
  <c r="E52" i="6"/>
  <c r="AM28" i="1"/>
  <c r="AG67" i="6"/>
  <c r="AC67" i="6"/>
  <c r="S67" i="6"/>
  <c r="E67" i="6"/>
  <c r="S64" i="6"/>
  <c r="R64" i="6"/>
  <c r="P64" i="6"/>
  <c r="H64" i="6"/>
  <c r="AK61" i="6"/>
  <c r="R61" i="6"/>
  <c r="N61" i="6"/>
  <c r="L61" i="6"/>
  <c r="AA60" i="6"/>
  <c r="U60" i="6"/>
  <c r="I60" i="6"/>
  <c r="D60" i="6"/>
  <c r="AM56" i="6"/>
  <c r="AK56" i="6"/>
  <c r="AA56" i="6"/>
  <c r="Z56" i="6"/>
  <c r="AM52" i="6"/>
  <c r="T52" i="6"/>
  <c r="P52" i="6"/>
  <c r="J52" i="6"/>
  <c r="Y67" i="6"/>
  <c r="U67" i="6"/>
  <c r="N67" i="6"/>
  <c r="J67" i="6"/>
  <c r="AL64" i="6"/>
  <c r="AJ64" i="6"/>
  <c r="AA64" i="6"/>
  <c r="Y64" i="6"/>
  <c r="AL61" i="6"/>
  <c r="AE61" i="6"/>
  <c r="AC61" i="6"/>
  <c r="O61" i="6"/>
  <c r="AB60" i="6"/>
  <c r="V60" i="6"/>
  <c r="H60" i="6"/>
  <c r="E60" i="6"/>
  <c r="T56" i="6"/>
  <c r="Q56" i="6"/>
  <c r="O56" i="6"/>
  <c r="H56" i="6"/>
  <c r="AJ52" i="6"/>
  <c r="AG52" i="6"/>
  <c r="Z52" i="6"/>
  <c r="Q52" i="6"/>
  <c r="AL67" i="6"/>
  <c r="Z67" i="6"/>
  <c r="W67" i="6"/>
  <c r="V67" i="6"/>
  <c r="K67" i="6"/>
  <c r="B67" i="6"/>
  <c r="AK64" i="6"/>
  <c r="AD64" i="6"/>
  <c r="Z64" i="6"/>
  <c r="W64" i="6"/>
  <c r="V64" i="6"/>
  <c r="L64" i="6"/>
  <c r="AM61" i="6"/>
  <c r="AD61" i="6"/>
  <c r="V61" i="6"/>
  <c r="S61" i="6"/>
  <c r="G61" i="6"/>
  <c r="E61" i="6"/>
  <c r="AJ60" i="6"/>
  <c r="AH60" i="6"/>
  <c r="AC60" i="6"/>
  <c r="Y60" i="6"/>
  <c r="Q60" i="6"/>
  <c r="C60" i="6"/>
  <c r="V56" i="6"/>
  <c r="S56" i="6"/>
  <c r="R56" i="6"/>
  <c r="P56" i="6"/>
  <c r="J56" i="6"/>
  <c r="G56" i="6"/>
  <c r="AK52" i="6"/>
  <c r="AF52" i="6"/>
  <c r="N52" i="6"/>
  <c r="L52" i="6"/>
  <c r="H52" i="6"/>
  <c r="C52" i="6"/>
  <c r="AC28" i="1"/>
  <c r="AH67" i="6"/>
  <c r="AF67" i="6"/>
  <c r="T67" i="6"/>
  <c r="R67" i="6"/>
  <c r="F67" i="6"/>
  <c r="D67" i="6"/>
  <c r="AE64" i="6"/>
  <c r="T64" i="6"/>
  <c r="O64" i="6"/>
  <c r="M64" i="6"/>
  <c r="F64" i="6"/>
  <c r="D64" i="6"/>
  <c r="Y61" i="6"/>
  <c r="X61" i="6"/>
  <c r="U61" i="6"/>
  <c r="Q61" i="6"/>
  <c r="M61" i="6"/>
  <c r="D61" i="6"/>
  <c r="AM60" i="6"/>
  <c r="AI60" i="6"/>
  <c r="S60" i="6"/>
  <c r="P60" i="6"/>
  <c r="L60" i="6"/>
  <c r="B60" i="6"/>
  <c r="AL56" i="6"/>
  <c r="AJ56" i="6"/>
  <c r="AG56" i="6"/>
  <c r="Y56" i="6"/>
  <c r="X56" i="6"/>
  <c r="D56" i="6"/>
  <c r="AI52" i="6"/>
  <c r="AE52" i="6"/>
  <c r="AC52" i="6"/>
  <c r="AA52" i="6"/>
  <c r="O52" i="6"/>
  <c r="K52" i="6"/>
  <c r="AI67" i="6"/>
  <c r="AE67" i="6"/>
  <c r="AA67" i="6"/>
  <c r="O67" i="6"/>
  <c r="AB64" i="6"/>
  <c r="N64" i="6"/>
  <c r="J64" i="6"/>
  <c r="E64" i="6"/>
  <c r="AH61" i="6"/>
  <c r="AF61" i="6"/>
  <c r="Z61" i="6"/>
  <c r="H61" i="6"/>
  <c r="AL60" i="6"/>
  <c r="T60" i="6"/>
  <c r="O60" i="6"/>
  <c r="F60" i="6"/>
  <c r="AF56" i="6"/>
  <c r="W56" i="6"/>
  <c r="L56" i="6"/>
  <c r="C56" i="6"/>
  <c r="AH52" i="6"/>
  <c r="Y52" i="6"/>
  <c r="R52" i="6"/>
  <c r="D52" i="6"/>
  <c r="AK67" i="6"/>
  <c r="L67" i="6"/>
  <c r="H67" i="6"/>
  <c r="C67" i="6"/>
  <c r="AG64" i="6"/>
  <c r="AC64" i="6"/>
  <c r="U64" i="6"/>
  <c r="I64" i="6"/>
  <c r="AA61" i="6"/>
  <c r="T61" i="6"/>
  <c r="K61" i="6"/>
  <c r="B61" i="6"/>
  <c r="AK60" i="6"/>
  <c r="Z60" i="6"/>
  <c r="W60" i="6"/>
  <c r="R60" i="6"/>
  <c r="AI56" i="6"/>
  <c r="AC56" i="6"/>
  <c r="K56" i="6"/>
  <c r="F56" i="6"/>
  <c r="AL52" i="6"/>
  <c r="V52" i="6"/>
  <c r="S52" i="6"/>
  <c r="B52" i="6"/>
  <c r="AJ67" i="6"/>
  <c r="Q67" i="6"/>
  <c r="M67" i="6"/>
  <c r="I67" i="6"/>
  <c r="G67" i="6"/>
  <c r="AM64" i="6"/>
  <c r="AI64" i="6"/>
  <c r="AF64" i="6"/>
  <c r="G64" i="6"/>
  <c r="B64" i="6"/>
  <c r="AB61" i="6"/>
  <c r="W61" i="6"/>
  <c r="P61" i="6"/>
  <c r="J61" i="6"/>
  <c r="C61" i="6"/>
  <c r="AG60" i="6"/>
  <c r="AE60" i="6"/>
  <c r="X60" i="6"/>
  <c r="M60" i="6"/>
  <c r="K60" i="6"/>
  <c r="AH56" i="6"/>
  <c r="AD56" i="6"/>
  <c r="N56" i="6"/>
  <c r="I56" i="6"/>
  <c r="E56" i="6"/>
  <c r="AD52" i="6"/>
  <c r="AB52" i="6"/>
  <c r="X52" i="6"/>
  <c r="U52" i="6"/>
  <c r="F52" i="6"/>
  <c r="R37" i="1"/>
  <c r="N37" i="1"/>
  <c r="AA36" i="1"/>
  <c r="I36" i="1"/>
  <c r="AM32" i="1"/>
  <c r="T28" i="1"/>
  <c r="P28" i="1"/>
  <c r="J28" i="1"/>
  <c r="D36" i="1"/>
  <c r="AF43" i="1"/>
  <c r="T43" i="1"/>
  <c r="D43" i="1"/>
  <c r="F40" i="1"/>
  <c r="X37" i="1"/>
  <c r="D37" i="1"/>
  <c r="B36" i="1"/>
  <c r="AG32" i="1"/>
  <c r="Y32" i="1"/>
  <c r="AI28" i="1"/>
  <c r="AE28" i="1"/>
  <c r="AA28" i="1"/>
  <c r="O28" i="1"/>
  <c r="K28" i="1"/>
  <c r="M40" i="1"/>
  <c r="AJ32" i="1"/>
  <c r="X32" i="1"/>
  <c r="D32" i="1"/>
  <c r="AH43" i="1"/>
  <c r="R43" i="1"/>
  <c r="F43" i="1"/>
  <c r="T40" i="1"/>
  <c r="D40" i="1"/>
  <c r="P36" i="1"/>
  <c r="L36" i="1"/>
  <c r="AM44" i="1"/>
  <c r="AL30" i="1"/>
  <c r="AD30" i="1"/>
  <c r="AC27" i="1"/>
  <c r="I27" i="1"/>
  <c r="F44" i="1"/>
  <c r="Q30" i="1"/>
  <c r="AK29" i="1"/>
  <c r="L29" i="1"/>
  <c r="AG35" i="1"/>
  <c r="Y35" i="1"/>
  <c r="U35" i="1"/>
  <c r="B35" i="1"/>
  <c r="AJ34" i="1"/>
  <c r="O34" i="1"/>
  <c r="W29" i="1"/>
  <c r="X35" i="1"/>
  <c r="F35" i="1"/>
  <c r="AA34" i="1"/>
  <c r="V34" i="1"/>
  <c r="N34" i="1"/>
  <c r="AA26" i="1"/>
  <c r="D35" i="1"/>
  <c r="Z34" i="1"/>
  <c r="J34" i="1"/>
  <c r="P29" i="1"/>
  <c r="I34" i="1"/>
  <c r="E34" i="1"/>
  <c r="AM29" i="1"/>
  <c r="AA29" i="1"/>
  <c r="S29" i="1"/>
  <c r="H35" i="1"/>
  <c r="AM35" i="1"/>
  <c r="AK26" i="1"/>
  <c r="AG26" i="1"/>
  <c r="U26" i="1"/>
  <c r="R35" i="1"/>
  <c r="L34" i="1"/>
  <c r="R29" i="1"/>
</calcChain>
</file>

<file path=xl/sharedStrings.xml><?xml version="1.0" encoding="utf-8"?>
<sst xmlns="http://schemas.openxmlformats.org/spreadsheetml/2006/main" count="5031" uniqueCount="674">
  <si>
    <t>ARS</t>
  </si>
  <si>
    <t>WHU</t>
  </si>
  <si>
    <t>cry</t>
  </si>
  <si>
    <t>LIV</t>
  </si>
  <si>
    <t>new</t>
  </si>
  <si>
    <t>STK</t>
  </si>
  <si>
    <t>che</t>
  </si>
  <si>
    <t>lei</t>
  </si>
  <si>
    <t>MUN</t>
  </si>
  <si>
    <t>wat</t>
  </si>
  <si>
    <t>EVE</t>
  </si>
  <si>
    <t>swa</t>
  </si>
  <si>
    <t>TOT</t>
  </si>
  <si>
    <t>wba</t>
  </si>
  <si>
    <t>nor</t>
  </si>
  <si>
    <t>SUN</t>
  </si>
  <si>
    <t>avl</t>
  </si>
  <si>
    <t>MCI</t>
  </si>
  <si>
    <t>sou</t>
  </si>
  <si>
    <t>BOU</t>
  </si>
  <si>
    <t>NEW</t>
  </si>
  <si>
    <t>liv</t>
  </si>
  <si>
    <t>stk</t>
  </si>
  <si>
    <t>CHE</t>
  </si>
  <si>
    <t>SOU</t>
  </si>
  <si>
    <t>bou</t>
  </si>
  <si>
    <t>LEI</t>
  </si>
  <si>
    <t>mun</t>
  </si>
  <si>
    <t>SWA</t>
  </si>
  <si>
    <t>tot</t>
  </si>
  <si>
    <t>WBA</t>
  </si>
  <si>
    <t>eve</t>
  </si>
  <si>
    <t>WAT</t>
  </si>
  <si>
    <t>whu</t>
  </si>
  <si>
    <t>CRY</t>
  </si>
  <si>
    <t>sun</t>
  </si>
  <si>
    <t>NOR</t>
  </si>
  <si>
    <t>mci</t>
  </si>
  <si>
    <t>AVL</t>
  </si>
  <si>
    <t>ars</t>
  </si>
  <si>
    <t>Add Team</t>
  </si>
  <si>
    <t>Ljungburger's Fantasy Spreadsheet</t>
  </si>
  <si>
    <t>Seed 1 Vs Seed 4 Home</t>
  </si>
  <si>
    <t>A</t>
  </si>
  <si>
    <t>Seed 2 Vs Seed 4 Home</t>
  </si>
  <si>
    <t>B</t>
  </si>
  <si>
    <t>14H</t>
  </si>
  <si>
    <t>Seed 1 Vs Seed 4 Away</t>
  </si>
  <si>
    <t>Seed 2 Vs Seed 4 Away</t>
  </si>
  <si>
    <t>14A</t>
  </si>
  <si>
    <t>Seed 1 Vs Seed 3 Home</t>
  </si>
  <si>
    <t>Seed 2 Vs Seed 3 Home</t>
  </si>
  <si>
    <t>C</t>
  </si>
  <si>
    <t>13H</t>
  </si>
  <si>
    <t>Seed 1 Vs Seed 3 Away</t>
  </si>
  <si>
    <t>Seed 2 Vs Seed 3 Away</t>
  </si>
  <si>
    <t>13A</t>
  </si>
  <si>
    <t>Seed 1 Vs Seed 2 Home</t>
  </si>
  <si>
    <t>Seed 2 Vs Seed 2 Home</t>
  </si>
  <si>
    <t>12H</t>
  </si>
  <si>
    <t>Seed 1 Vs Seed 2 Away</t>
  </si>
  <si>
    <t>Seed 2 Vs Seed 2 Away</t>
  </si>
  <si>
    <t>D</t>
  </si>
  <si>
    <t>12A</t>
  </si>
  <si>
    <t>Seed 1 Vs Seed 1 Home</t>
  </si>
  <si>
    <t>Seed 2 Vs Seed 1 Home</t>
  </si>
  <si>
    <t>11H</t>
  </si>
  <si>
    <t>Seed 1 Vs Seed 1 Away</t>
  </si>
  <si>
    <t>Seed 2 Vs Seed 1 Away</t>
  </si>
  <si>
    <t>E</t>
  </si>
  <si>
    <t>11A</t>
  </si>
  <si>
    <t>24H</t>
  </si>
  <si>
    <t>Seed 3 Vs Seed 4 Home</t>
  </si>
  <si>
    <t>Seed 4 Vs Seed 4 Home</t>
  </si>
  <si>
    <t>24A</t>
  </si>
  <si>
    <t>Seed 3 Vs Seed 4 Away</t>
  </si>
  <si>
    <t>Seed 4 Vs Seed 4 Away</t>
  </si>
  <si>
    <t>23H</t>
  </si>
  <si>
    <t>Seed 3 Vs Seed 3 Home</t>
  </si>
  <si>
    <t>Seed 4 Vs Seed 3 Home</t>
  </si>
  <si>
    <t>23A</t>
  </si>
  <si>
    <t>Seed 3 Vs Seed 3 Away</t>
  </si>
  <si>
    <t>Seed 4 Vs Seed 3 Away</t>
  </si>
  <si>
    <t>22H</t>
  </si>
  <si>
    <t>Seed 3 Vs Seed 2 Home</t>
  </si>
  <si>
    <t>Seed 4 Vs Seed 2 Home</t>
  </si>
  <si>
    <t>22A</t>
  </si>
  <si>
    <t>Seed 3 Vs Seed 2 Away</t>
  </si>
  <si>
    <t>Seed 4 Vs Seed 2 Away</t>
  </si>
  <si>
    <t>21H</t>
  </si>
  <si>
    <t>Seed 3 Vs Seed 1 Home</t>
  </si>
  <si>
    <t>Seed 4 Vs Seed 1 Home</t>
  </si>
  <si>
    <t>21A</t>
  </si>
  <si>
    <t>Seed 3 Vs Seed 1 Away</t>
  </si>
  <si>
    <t>Seed 4 Vs Seed 1 Away</t>
  </si>
  <si>
    <t>34H</t>
  </si>
  <si>
    <t>34A</t>
  </si>
  <si>
    <t>33H</t>
  </si>
  <si>
    <t>33A</t>
  </si>
  <si>
    <t>32H</t>
  </si>
  <si>
    <t>32A</t>
  </si>
  <si>
    <t>31H</t>
  </si>
  <si>
    <t>31A</t>
  </si>
  <si>
    <t>44H</t>
  </si>
  <si>
    <t>44A</t>
  </si>
  <si>
    <t>43H</t>
  </si>
  <si>
    <t>43A</t>
  </si>
  <si>
    <t>42H</t>
  </si>
  <si>
    <t>42A</t>
  </si>
  <si>
    <t>41H</t>
  </si>
  <si>
    <t>41A</t>
  </si>
  <si>
    <t>Rank</t>
  </si>
  <si>
    <t>Team</t>
  </si>
  <si>
    <t>Played (H | A)</t>
  </si>
  <si>
    <t>Won (H | A)</t>
  </si>
  <si>
    <t>Drawn (H | A)</t>
  </si>
  <si>
    <t>Lost (H | A)</t>
  </si>
  <si>
    <t>GF</t>
  </si>
  <si>
    <t>GA</t>
  </si>
  <si>
    <t>GD</t>
  </si>
  <si>
    <t>Pts</t>
  </si>
  <si>
    <t>Arsenal</t>
  </si>
  <si>
    <t>0 (0 | 0)</t>
  </si>
  <si>
    <t>Aston Villa</t>
  </si>
  <si>
    <t>Bournemouth</t>
  </si>
  <si>
    <t>Chelsea</t>
  </si>
  <si>
    <t>Crystal Palace</t>
  </si>
  <si>
    <t>Everton</t>
  </si>
  <si>
    <t>Leicester City</t>
  </si>
  <si>
    <t>Liverpool</t>
  </si>
  <si>
    <t>Manchester City</t>
  </si>
  <si>
    <t>Manchester United</t>
  </si>
  <si>
    <t>Newcastle United</t>
  </si>
  <si>
    <t>Norwich City</t>
  </si>
  <si>
    <t>Southampton</t>
  </si>
  <si>
    <t>Stoke City</t>
  </si>
  <si>
    <t>Sunderland</t>
  </si>
  <si>
    <t>Swansea City</t>
  </si>
  <si>
    <t>Tottenham Hotspur</t>
  </si>
  <si>
    <t>Watford</t>
  </si>
  <si>
    <t>West Bromwich Albion</t>
  </si>
  <si>
    <t>West Ham United</t>
  </si>
  <si>
    <t>Name</t>
  </si>
  <si>
    <t>Posn</t>
  </si>
  <si>
    <t>Difficulty</t>
  </si>
  <si>
    <t>£</t>
  </si>
  <si>
    <t>GW Pts</t>
  </si>
  <si>
    <t>Tot Pts</t>
  </si>
  <si>
    <t>Mins</t>
  </si>
  <si>
    <t>GW Games</t>
  </si>
  <si>
    <t>Tot Games</t>
  </si>
  <si>
    <t>PPG</t>
  </si>
  <si>
    <t>PPM</t>
  </si>
  <si>
    <t>PPMPG</t>
  </si>
  <si>
    <t>Pts L2W</t>
  </si>
  <si>
    <t>Pts L4W</t>
  </si>
  <si>
    <t>Games L4W</t>
  </si>
  <si>
    <t>PPG L4W</t>
  </si>
  <si>
    <t>PPM L4W</t>
  </si>
  <si>
    <t>PPMPG L4W</t>
  </si>
  <si>
    <t>Ivanovic</t>
  </si>
  <si>
    <t>DEF</t>
  </si>
  <si>
    <t>Medium</t>
  </si>
  <si>
    <t>Terry</t>
  </si>
  <si>
    <t>Cresswell</t>
  </si>
  <si>
    <t>Trippier</t>
  </si>
  <si>
    <t>Adrián</t>
  </si>
  <si>
    <t>GKP</t>
  </si>
  <si>
    <t>N'Zonzi</t>
  </si>
  <si>
    <t>MID</t>
  </si>
  <si>
    <t>Hazard</t>
  </si>
  <si>
    <t>Ward</t>
  </si>
  <si>
    <t>Hard</t>
  </si>
  <si>
    <t>Fonte</t>
  </si>
  <si>
    <t>Williams</t>
  </si>
  <si>
    <t>de Gea</t>
  </si>
  <si>
    <t>Downing</t>
  </si>
  <si>
    <t>Fabianski</t>
  </si>
  <si>
    <t>Jagielka</t>
  </si>
  <si>
    <t>Morgan</t>
  </si>
  <si>
    <t>Pellè</t>
  </si>
  <si>
    <t>FWD</t>
  </si>
  <si>
    <t>O'Shea</t>
  </si>
  <si>
    <t>Henderson</t>
  </si>
  <si>
    <t>Janmaat</t>
  </si>
  <si>
    <t>Hart</t>
  </si>
  <si>
    <t>Mignolet</t>
  </si>
  <si>
    <t>Speroni</t>
  </si>
  <si>
    <t>Mertesacker</t>
  </si>
  <si>
    <t>Easy</t>
  </si>
  <si>
    <t>Begovic</t>
  </si>
  <si>
    <t>Clyne</t>
  </si>
  <si>
    <t>Eriksen</t>
  </si>
  <si>
    <t>Colback</t>
  </si>
  <si>
    <t>Matic</t>
  </si>
  <si>
    <t>Coleman</t>
  </si>
  <si>
    <t>Lloris</t>
  </si>
  <si>
    <t>Guzan</t>
  </si>
  <si>
    <t>Lescott</t>
  </si>
  <si>
    <t>Bertrand</t>
  </si>
  <si>
    <t>Larsson</t>
  </si>
  <si>
    <t>Sterling</t>
  </si>
  <si>
    <t>Sissoko</t>
  </si>
  <si>
    <t>Ings</t>
  </si>
  <si>
    <t>Taylor</t>
  </si>
  <si>
    <t>Cazorla</t>
  </si>
  <si>
    <t>Cahill</t>
  </si>
  <si>
    <t>Skrtel</t>
  </si>
  <si>
    <t>Sánchez</t>
  </si>
  <si>
    <t>Berahino</t>
  </si>
  <si>
    <t>Dann</t>
  </si>
  <si>
    <t>Brunt</t>
  </si>
  <si>
    <t>Fàbregas</t>
  </si>
  <si>
    <t>Lukaku</t>
  </si>
  <si>
    <t>Rooney</t>
  </si>
  <si>
    <t>Howard</t>
  </si>
  <si>
    <t>Coloccini</t>
  </si>
  <si>
    <t>Shawcross</t>
  </si>
  <si>
    <t>Puncheon</t>
  </si>
  <si>
    <t>Barry</t>
  </si>
  <si>
    <t>Courtois</t>
  </si>
  <si>
    <t>Vertonghen</t>
  </si>
  <si>
    <t>Coutinho</t>
  </si>
  <si>
    <t>Baines</t>
  </si>
  <si>
    <t>Bolasie</t>
  </si>
  <si>
    <t>Wickham</t>
  </si>
  <si>
    <t>Krul</t>
  </si>
  <si>
    <t>Agbonlahor</t>
  </si>
  <si>
    <t>Ki Sung-yueng</t>
  </si>
  <si>
    <t>Sigurdsson</t>
  </si>
  <si>
    <t>Gardner</t>
  </si>
  <si>
    <t>Jenkinson</t>
  </si>
  <si>
    <t>Kouyaté</t>
  </si>
  <si>
    <t>Silva</t>
  </si>
  <si>
    <t>Davis</t>
  </si>
  <si>
    <t>Forster</t>
  </si>
  <si>
    <t>Vergini</t>
  </si>
  <si>
    <t>McArthur</t>
  </si>
  <si>
    <t>Cleverley</t>
  </si>
  <si>
    <t>Dawson</t>
  </si>
  <si>
    <t>Zabaleta</t>
  </si>
  <si>
    <t>Kane</t>
  </si>
  <si>
    <t>Valencia</t>
  </si>
  <si>
    <t>Ledley</t>
  </si>
  <si>
    <t>Demichelis</t>
  </si>
  <si>
    <t>Pieters</t>
  </si>
  <si>
    <t>Morrison</t>
  </si>
  <si>
    <t>Agüero</t>
  </si>
  <si>
    <t>Schlupp</t>
  </si>
  <si>
    <t>Pantilimon</t>
  </si>
  <si>
    <t>Reid</t>
  </si>
  <si>
    <t>Kelly</t>
  </si>
  <si>
    <t>Foster</t>
  </si>
  <si>
    <t>Azpilicueta</t>
  </si>
  <si>
    <t>Fernández</t>
  </si>
  <si>
    <t>Shelvey</t>
  </si>
  <si>
    <t>Diouf</t>
  </si>
  <si>
    <t>Delph</t>
  </si>
  <si>
    <t>Delaney</t>
  </si>
  <si>
    <t>Hutton</t>
  </si>
  <si>
    <t>Williamson</t>
  </si>
  <si>
    <t>Walters</t>
  </si>
  <si>
    <t>Chadli</t>
  </si>
  <si>
    <t>Willian</t>
  </si>
  <si>
    <t>McCarthy</t>
  </si>
  <si>
    <t>Ulloa</t>
  </si>
  <si>
    <t>Benteke</t>
  </si>
  <si>
    <t>Ayoze</t>
  </si>
  <si>
    <t>Rose</t>
  </si>
  <si>
    <t>Wanyama</t>
  </si>
  <si>
    <t>Cattermole</t>
  </si>
  <si>
    <t>Yaya Touré</t>
  </si>
  <si>
    <t>Mason</t>
  </si>
  <si>
    <t>Monreal</t>
  </si>
  <si>
    <t>Routledge</t>
  </si>
  <si>
    <t>van Aanholt</t>
  </si>
  <si>
    <t>Mata</t>
  </si>
  <si>
    <t>Noble</t>
  </si>
  <si>
    <t>Lamela</t>
  </si>
  <si>
    <t>Dier</t>
  </si>
  <si>
    <t>Koscielny</t>
  </si>
  <si>
    <t>Fernandinho</t>
  </si>
  <si>
    <t>Alderweireld</t>
  </si>
  <si>
    <t>Whelan</t>
  </si>
  <si>
    <t>Moreno</t>
  </si>
  <si>
    <t>Navas</t>
  </si>
  <si>
    <t>Konchesky</t>
  </si>
  <si>
    <t>Vardy</t>
  </si>
  <si>
    <t>Bentaleb</t>
  </si>
  <si>
    <t>Mangala</t>
  </si>
  <si>
    <t>Schneiderlin</t>
  </si>
  <si>
    <t>Blind</t>
  </si>
  <si>
    <t>Schmeichel</t>
  </si>
  <si>
    <t>Westwood</t>
  </si>
  <si>
    <t>Cameron</t>
  </si>
  <si>
    <t>Mané</t>
  </si>
  <si>
    <t>Cissokho</t>
  </si>
  <si>
    <t>Wilson</t>
  </si>
  <si>
    <t>van Persie</t>
  </si>
  <si>
    <t>Dummett</t>
  </si>
  <si>
    <t>Bardsley</t>
  </si>
  <si>
    <t>Mahrez</t>
  </si>
  <si>
    <t>Johnson</t>
  </si>
  <si>
    <t>Jedinak</t>
  </si>
  <si>
    <t>McAuley</t>
  </si>
  <si>
    <t>Costa</t>
  </si>
  <si>
    <t>Young</t>
  </si>
  <si>
    <t>Can</t>
  </si>
  <si>
    <t>Naismith</t>
  </si>
  <si>
    <t>Clichy</t>
  </si>
  <si>
    <t>Tadic</t>
  </si>
  <si>
    <t>Stones</t>
  </si>
  <si>
    <t>Lovren</t>
  </si>
  <si>
    <t>Rangel</t>
  </si>
  <si>
    <t>Kompany</t>
  </si>
  <si>
    <t>Oscar</t>
  </si>
  <si>
    <t>Okore</t>
  </si>
  <si>
    <t>Ramsey</t>
  </si>
  <si>
    <t>Clark</t>
  </si>
  <si>
    <t>Brown</t>
  </si>
  <si>
    <t>Wasilewski</t>
  </si>
  <si>
    <t>Zaha</t>
  </si>
  <si>
    <t>Wisdom</t>
  </si>
  <si>
    <t>Gouffran</t>
  </si>
  <si>
    <t>Barkley</t>
  </si>
  <si>
    <t>Cabella</t>
  </si>
  <si>
    <t>Gómez</t>
  </si>
  <si>
    <t>Arnautovic</t>
  </si>
  <si>
    <t>James</t>
  </si>
  <si>
    <t>de Laet</t>
  </si>
  <si>
    <t>Collins</t>
  </si>
  <si>
    <t>Fernando</t>
  </si>
  <si>
    <t>Smalling</t>
  </si>
  <si>
    <t>Jones</t>
  </si>
  <si>
    <t>Herrera</t>
  </si>
  <si>
    <t>Dyer</t>
  </si>
  <si>
    <t>Giroud</t>
  </si>
  <si>
    <t>Özil</t>
  </si>
  <si>
    <t>Tomkins</t>
  </si>
  <si>
    <t>Fellaini</t>
  </si>
  <si>
    <t>Cork</t>
  </si>
  <si>
    <t>Fletcher</t>
  </si>
  <si>
    <t>Lallana</t>
  </si>
  <si>
    <t>Fazio</t>
  </si>
  <si>
    <t>Rojo</t>
  </si>
  <si>
    <t>Sessegnon</t>
  </si>
  <si>
    <t>Sakho</t>
  </si>
  <si>
    <t>Milner</t>
  </si>
  <si>
    <t>Nolan</t>
  </si>
  <si>
    <t>Nugent</t>
  </si>
  <si>
    <t>Welbeck</t>
  </si>
  <si>
    <t>Yoshida</t>
  </si>
  <si>
    <t>Crouch</t>
  </si>
  <si>
    <t>Coquelin</t>
  </si>
  <si>
    <t>Gibbs</t>
  </si>
  <si>
    <t>Gomis</t>
  </si>
  <si>
    <t>Vlaar</t>
  </si>
  <si>
    <t>Di María</t>
  </si>
  <si>
    <t>Ospina</t>
  </si>
  <si>
    <t>Bony</t>
  </si>
  <si>
    <t>Dorrans</t>
  </si>
  <si>
    <t>Montero</t>
  </si>
  <si>
    <t>Chambers</t>
  </si>
  <si>
    <t>Nasri</t>
  </si>
  <si>
    <t>Bellerín</t>
  </si>
  <si>
    <t>Long</t>
  </si>
  <si>
    <t>Adam</t>
  </si>
  <si>
    <t>Szczesny</t>
  </si>
  <si>
    <t>Chamberlain</t>
  </si>
  <si>
    <t>Kolarov</t>
  </si>
  <si>
    <t>Drinkwater</t>
  </si>
  <si>
    <t>Rodwell</t>
  </si>
  <si>
    <t>Ward-Prowse</t>
  </si>
  <si>
    <t>Allen</t>
  </si>
  <si>
    <t>Flamini</t>
  </si>
  <si>
    <t>Carrick</t>
  </si>
  <si>
    <t>Defoe</t>
  </si>
  <si>
    <t>Moses</t>
  </si>
  <si>
    <t>N'Zogbia</t>
  </si>
  <si>
    <t>Mirallas</t>
  </si>
  <si>
    <t>Ameobi</t>
  </si>
  <si>
    <t>Yacob</t>
  </si>
  <si>
    <t>Muniesa</t>
  </si>
  <si>
    <t>King</t>
  </si>
  <si>
    <t>Lennon</t>
  </si>
  <si>
    <t>Richardson</t>
  </si>
  <si>
    <t>Lucas</t>
  </si>
  <si>
    <t>Walker</t>
  </si>
  <si>
    <t>Ideye</t>
  </si>
  <si>
    <t>Falcao</t>
  </si>
  <si>
    <t>Besic</t>
  </si>
  <si>
    <t>Osman</t>
  </si>
  <si>
    <t>Anita</t>
  </si>
  <si>
    <t>Simpson</t>
  </si>
  <si>
    <t>Pocognoli</t>
  </si>
  <si>
    <t>Rivière</t>
  </si>
  <si>
    <t>Bojan</t>
  </si>
  <si>
    <t>Amalfitano</t>
  </si>
  <si>
    <t>Huth</t>
  </si>
  <si>
    <t>Naughton</t>
  </si>
  <si>
    <t>Campbell</t>
  </si>
  <si>
    <t>Hangeland</t>
  </si>
  <si>
    <t>Cissé</t>
  </si>
  <si>
    <t>Chamakh</t>
  </si>
  <si>
    <t>Dembélé</t>
  </si>
  <si>
    <t>Shaw</t>
  </si>
  <si>
    <t>Ramires</t>
  </si>
  <si>
    <t>Haidara</t>
  </si>
  <si>
    <t>Gayle</t>
  </si>
  <si>
    <t>Evans</t>
  </si>
  <si>
    <t>Distin</t>
  </si>
  <si>
    <t>Anichebe</t>
  </si>
  <si>
    <t>Albrighton</t>
  </si>
  <si>
    <t>McNair</t>
  </si>
  <si>
    <t>Carroll</t>
  </si>
  <si>
    <t>Wollscheid</t>
  </si>
  <si>
    <t>Kaboul</t>
  </si>
  <si>
    <t>Bacuna</t>
  </si>
  <si>
    <t>Filipe Luis</t>
  </si>
  <si>
    <t>Balotelli</t>
  </si>
  <si>
    <t>Moore</t>
  </si>
  <si>
    <t>Myhill</t>
  </si>
  <si>
    <t>Markovic</t>
  </si>
  <si>
    <t>Ireland</t>
  </si>
  <si>
    <t>Dzeko</t>
  </si>
  <si>
    <t>Bridcutt</t>
  </si>
  <si>
    <t>Mannone</t>
  </si>
  <si>
    <t>Mulumbu</t>
  </si>
  <si>
    <t>Capoue</t>
  </si>
  <si>
    <t>Tioté</t>
  </si>
  <si>
    <t>Davies</t>
  </si>
  <si>
    <t>McGeady</t>
  </si>
  <si>
    <t>Buckley</t>
  </si>
  <si>
    <t>Murray</t>
  </si>
  <si>
    <t>Januzaj</t>
  </si>
  <si>
    <t>Remy</t>
  </si>
  <si>
    <t>Mutch</t>
  </si>
  <si>
    <t>Mariappa</t>
  </si>
  <si>
    <t>Lambert</t>
  </si>
  <si>
    <t>Olsson</t>
  </si>
  <si>
    <t>Coates</t>
  </si>
  <si>
    <t>Grealish</t>
  </si>
  <si>
    <t>Adebayor</t>
  </si>
  <si>
    <t>Debuchy</t>
  </si>
  <si>
    <t>Soldado</t>
  </si>
  <si>
    <t>Elia</t>
  </si>
  <si>
    <t>Jovetic</t>
  </si>
  <si>
    <t>Hammond</t>
  </si>
  <si>
    <t>Baker</t>
  </si>
  <si>
    <t>Manquillo</t>
  </si>
  <si>
    <t>Sturridge</t>
  </si>
  <si>
    <t>Townsend</t>
  </si>
  <si>
    <t>Sagna</t>
  </si>
  <si>
    <t>Wilshere</t>
  </si>
  <si>
    <t>Hamer</t>
  </si>
  <si>
    <t>Touré</t>
  </si>
  <si>
    <t>Chiriches</t>
  </si>
  <si>
    <t>Mikel</t>
  </si>
  <si>
    <t>Abeid</t>
  </si>
  <si>
    <t>Blackett</t>
  </si>
  <si>
    <t>Obertan</t>
  </si>
  <si>
    <t>Steven Taylor</t>
  </si>
  <si>
    <t>Zouma</t>
  </si>
  <si>
    <t>Senderos</t>
  </si>
  <si>
    <t>Bartley</t>
  </si>
  <si>
    <t>Graham</t>
  </si>
  <si>
    <t>Ibe</t>
  </si>
  <si>
    <t>Davis K</t>
  </si>
  <si>
    <t>Cech</t>
  </si>
  <si>
    <t>Souaré</t>
  </si>
  <si>
    <t>Koné</t>
  </si>
  <si>
    <t>Rafael</t>
  </si>
  <si>
    <t>Amat</t>
  </si>
  <si>
    <t>Robles</t>
  </si>
  <si>
    <t>Rosicky</t>
  </si>
  <si>
    <t>Kramaric</t>
  </si>
  <si>
    <t>Gardos</t>
  </si>
  <si>
    <t>Britton</t>
  </si>
  <si>
    <t>O'Brien</t>
  </si>
  <si>
    <t>Emnes</t>
  </si>
  <si>
    <t>Zárate</t>
  </si>
  <si>
    <t>Sinclair</t>
  </si>
  <si>
    <t>Reed</t>
  </si>
  <si>
    <t>Stambouli</t>
  </si>
  <si>
    <t>Sanogo</t>
  </si>
  <si>
    <t>Sidwell</t>
  </si>
  <si>
    <t>Arteta</t>
  </si>
  <si>
    <t>Walcott</t>
  </si>
  <si>
    <t>Gibson</t>
  </si>
  <si>
    <t>Jarvis</t>
  </si>
  <si>
    <t>Burke</t>
  </si>
  <si>
    <t>Borini</t>
  </si>
  <si>
    <t>Carles Gil</t>
  </si>
  <si>
    <t>Vorm</t>
  </si>
  <si>
    <t>Gabriel</t>
  </si>
  <si>
    <t>McManaman</t>
  </si>
  <si>
    <t>Knockaert</t>
  </si>
  <si>
    <t>Hibbert</t>
  </si>
  <si>
    <t>Djuricic</t>
  </si>
  <si>
    <t>Oviedo</t>
  </si>
  <si>
    <t>Pienaar</t>
  </si>
  <si>
    <t>Cuadrado</t>
  </si>
  <si>
    <t>Giaccherini</t>
  </si>
  <si>
    <t>Barrow</t>
  </si>
  <si>
    <t>Garbutt</t>
  </si>
  <si>
    <t>Cole</t>
  </si>
  <si>
    <t>Given</t>
  </si>
  <si>
    <t>Butland</t>
  </si>
  <si>
    <t>Gamboa</t>
  </si>
  <si>
    <t>Targett</t>
  </si>
  <si>
    <t>Elliot</t>
  </si>
  <si>
    <t>Hennessey</t>
  </si>
  <si>
    <t>Armstrong</t>
  </si>
  <si>
    <t>José Enrique</t>
  </si>
  <si>
    <t>Odemwingie</t>
  </si>
  <si>
    <t>Caballero</t>
  </si>
  <si>
    <t>Galloway</t>
  </si>
  <si>
    <t>de Jong</t>
  </si>
  <si>
    <t>Bannan</t>
  </si>
  <si>
    <t>Pozo</t>
  </si>
  <si>
    <t>Loftus-Cheek</t>
  </si>
  <si>
    <t>Aarons</t>
  </si>
  <si>
    <t>Tiendalli</t>
  </si>
  <si>
    <t>Guédioura</t>
  </si>
  <si>
    <t>Fulton</t>
  </si>
  <si>
    <t>Atsu</t>
  </si>
  <si>
    <t>Valdés</t>
  </si>
  <si>
    <t>Lee Chung-yong</t>
  </si>
  <si>
    <t>Poyet</t>
  </si>
  <si>
    <t>Roberge</t>
  </si>
  <si>
    <t>Samaras</t>
  </si>
  <si>
    <t>Mayuka</t>
  </si>
  <si>
    <t>Hesketh</t>
  </si>
  <si>
    <t>Hernández</t>
  </si>
  <si>
    <t>Grimes</t>
  </si>
  <si>
    <t>Browning</t>
  </si>
  <si>
    <t>Akpom</t>
  </si>
  <si>
    <t>Aké</t>
  </si>
  <si>
    <t>Pereira</t>
  </si>
  <si>
    <t>Christensen</t>
  </si>
  <si>
    <t>Yedlin</t>
  </si>
  <si>
    <t>Hepburn-Murphy</t>
  </si>
  <si>
    <t>Fryers</t>
  </si>
  <si>
    <t>Zelalem</t>
  </si>
  <si>
    <t>Gnabry</t>
  </si>
  <si>
    <t>Kinsella</t>
  </si>
  <si>
    <t>Bunn</t>
  </si>
  <si>
    <t>Kozák</t>
  </si>
  <si>
    <t>Richards</t>
  </si>
  <si>
    <t>Smith</t>
  </si>
  <si>
    <t>Gosling</t>
  </si>
  <si>
    <t>MacDonald</t>
  </si>
  <si>
    <t>Cook</t>
  </si>
  <si>
    <t>Rantie</t>
  </si>
  <si>
    <t>Pugh</t>
  </si>
  <si>
    <t>Daniels</t>
  </si>
  <si>
    <t>Federici</t>
  </si>
  <si>
    <t>Stanislas</t>
  </si>
  <si>
    <t>O'Kane</t>
  </si>
  <si>
    <t>Francis</t>
  </si>
  <si>
    <t>Mings</t>
  </si>
  <si>
    <t>Kermorgant</t>
  </si>
  <si>
    <t>Arter</t>
  </si>
  <si>
    <t>Ritchie</t>
  </si>
  <si>
    <t>Elphick</t>
  </si>
  <si>
    <t>Boruc</t>
  </si>
  <si>
    <t>Surman</t>
  </si>
  <si>
    <t>Solanke</t>
  </si>
  <si>
    <t>Nathan</t>
  </si>
  <si>
    <t>Cabaye</t>
  </si>
  <si>
    <t>Deulofeu</t>
  </si>
  <si>
    <t>Okazaki</t>
  </si>
  <si>
    <t>Fuchs</t>
  </si>
  <si>
    <t>Origi</t>
  </si>
  <si>
    <t>Bogdan</t>
  </si>
  <si>
    <t>Sheyi Ojo</t>
  </si>
  <si>
    <t>Ilori</t>
  </si>
  <si>
    <t>Denayer</t>
  </si>
  <si>
    <t>Depay</t>
  </si>
  <si>
    <t>Varela</t>
  </si>
  <si>
    <t>Redmond</t>
  </si>
  <si>
    <t>Hooiveld</t>
  </si>
  <si>
    <t>Grabban</t>
  </si>
  <si>
    <t>O'Neil</t>
  </si>
  <si>
    <t>Martin</t>
  </si>
  <si>
    <t>Howson</t>
  </si>
  <si>
    <t>Lafferty</t>
  </si>
  <si>
    <t>Turner</t>
  </si>
  <si>
    <t>van Wolfswinkel</t>
  </si>
  <si>
    <t>Tettey</t>
  </si>
  <si>
    <t>Whittaker</t>
  </si>
  <si>
    <t>Rudd</t>
  </si>
  <si>
    <t>Hoolahan</t>
  </si>
  <si>
    <t>Ryan Bennett</t>
  </si>
  <si>
    <t>Hooper</t>
  </si>
  <si>
    <t>Elliott Bennett</t>
  </si>
  <si>
    <t>Jerome</t>
  </si>
  <si>
    <t>Bassong</t>
  </si>
  <si>
    <t>Ruddy</t>
  </si>
  <si>
    <t>Martina</t>
  </si>
  <si>
    <t>Cédric</t>
  </si>
  <si>
    <t>Stekelenburg</t>
  </si>
  <si>
    <t>Juanmi</t>
  </si>
  <si>
    <t>Rodriguez</t>
  </si>
  <si>
    <t>Pritchard</t>
  </si>
  <si>
    <t>Alli</t>
  </si>
  <si>
    <t>Wimmer</t>
  </si>
  <si>
    <t>Haugaard</t>
  </si>
  <si>
    <t>Joselu</t>
  </si>
  <si>
    <t>Matthews</t>
  </si>
  <si>
    <t>Nordfeldt</t>
  </si>
  <si>
    <t>Tabanou</t>
  </si>
  <si>
    <t>Eder</t>
  </si>
  <si>
    <t>Ayew</t>
  </si>
  <si>
    <t>Ekstrand</t>
  </si>
  <si>
    <t>Anya</t>
  </si>
  <si>
    <t>Abdi</t>
  </si>
  <si>
    <t>Ighalo</t>
  </si>
  <si>
    <t>Prödl</t>
  </si>
  <si>
    <t>Holebas</t>
  </si>
  <si>
    <t>Hoban</t>
  </si>
  <si>
    <t>McGugan</t>
  </si>
  <si>
    <t>Bond</t>
  </si>
  <si>
    <t>Fabbrini</t>
  </si>
  <si>
    <t>Forestieri</t>
  </si>
  <si>
    <t>Layún</t>
  </si>
  <si>
    <t>Deeney</t>
  </si>
  <si>
    <t>Tözsér</t>
  </si>
  <si>
    <t>Cathcart</t>
  </si>
  <si>
    <t>Pudil</t>
  </si>
  <si>
    <t>Gomes</t>
  </si>
  <si>
    <t>Watson</t>
  </si>
  <si>
    <t>Vydra</t>
  </si>
  <si>
    <t>Paredes</t>
  </si>
  <si>
    <t>Doyley</t>
  </si>
  <si>
    <t>Arlauskis</t>
  </si>
  <si>
    <t>Angella</t>
  </si>
  <si>
    <t>McClean</t>
  </si>
  <si>
    <t>Obiang</t>
  </si>
  <si>
    <t>Oxford</t>
  </si>
  <si>
    <t>Maiga</t>
  </si>
  <si>
    <t>Randolph</t>
  </si>
  <si>
    <t>Payet</t>
  </si>
  <si>
    <t>Firmino</t>
  </si>
  <si>
    <t>Ramírez</t>
  </si>
  <si>
    <t>Gueye</t>
  </si>
  <si>
    <t>Flanagan</t>
  </si>
  <si>
    <t>Schweinsteiger</t>
  </si>
  <si>
    <t>Darmian</t>
  </si>
  <si>
    <t>Wijnaldum</t>
  </si>
  <si>
    <t>Van Ginkel</t>
  </si>
  <si>
    <t>Behrami</t>
  </si>
  <si>
    <t>Ogbonna</t>
  </si>
  <si>
    <t>Player</t>
  </si>
  <si>
    <t>Position</t>
  </si>
  <si>
    <t>Total Points</t>
  </si>
  <si>
    <t>Minutes Played</t>
  </si>
  <si>
    <t>Points Per 90 Minutes</t>
  </si>
  <si>
    <t>Price (This Season)</t>
  </si>
  <si>
    <t>Points Per 90 Minutes Per £Million</t>
  </si>
  <si>
    <t>MF</t>
  </si>
  <si>
    <t>ST</t>
  </si>
  <si>
    <t>Man City</t>
  </si>
  <si>
    <t>Spurs</t>
  </si>
  <si>
    <t>DF</t>
  </si>
  <si>
    <t>West Ham</t>
  </si>
  <si>
    <t>Swansea</t>
  </si>
  <si>
    <t>GK</t>
  </si>
  <si>
    <t>West Brom</t>
  </si>
  <si>
    <t>Man Utd</t>
  </si>
  <si>
    <t>Leicester</t>
  </si>
  <si>
    <t>Stoke</t>
  </si>
  <si>
    <t>Newcastle</t>
  </si>
  <si>
    <t>Norwich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</si>
</sst>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0"/>
      <color theme="1" tint="0.249977111117893"/>
      <name val="Arial"/>
      <family val="2"/>
    </font>
    <font>
      <b/>
      <sz val="10"/>
      <color rgb="FF000000"/>
      <name val="Arial"/>
      <family val="2"/>
    </font>
    <font>
      <sz val="12"/>
      <color rgb="FF000000"/>
      <name val="Arial"/>
      <family val="2"/>
    </font>
    <font>
      <sz val="1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3" fillId="0" borderId="0"/>
  </cellStyleXfs>
  <cellXfs count="67">
    <xf numFmtId="0" fontId="0" fillId="0" borderId="0" xfId="0" applyFont="1" applyAlignment="1"/>
    <xf numFmtId="0" fontId="1" fillId="0" borderId="0" xfId="0" applyFont="1" applyAlignment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6" fillId="0" borderId="0" xfId="2" applyFont="1" applyAlignment="1"/>
    <xf numFmtId="0" fontId="6" fillId="0" borderId="0" xfId="2" applyFont="1" applyFill="1" applyAlignment="1">
      <alignment horizontal="center"/>
    </xf>
    <xf numFmtId="0" fontId="6" fillId="0" borderId="0" xfId="2" applyFont="1" applyFill="1" applyAlignment="1"/>
    <xf numFmtId="0" fontId="5" fillId="3" borderId="19" xfId="1" applyFont="1" applyFill="1" applyBorder="1" applyAlignment="1">
      <alignment horizontal="center"/>
    </xf>
    <xf numFmtId="0" fontId="6" fillId="0" borderId="16" xfId="2" applyFont="1" applyBorder="1" applyAlignment="1"/>
    <xf numFmtId="0" fontId="6" fillId="0" borderId="17" xfId="2" applyFont="1" applyBorder="1" applyAlignment="1"/>
    <xf numFmtId="0" fontId="6" fillId="0" borderId="18" xfId="2" applyFont="1" applyBorder="1" applyAlignment="1"/>
    <xf numFmtId="0" fontId="6" fillId="0" borderId="23" xfId="2" applyFont="1" applyBorder="1" applyAlignment="1"/>
    <xf numFmtId="0" fontId="6" fillId="0" borderId="22" xfId="2" applyFont="1" applyBorder="1" applyAlignment="1"/>
    <xf numFmtId="0" fontId="6" fillId="0" borderId="14" xfId="2" applyFont="1" applyBorder="1" applyAlignment="1"/>
    <xf numFmtId="0" fontId="5" fillId="3" borderId="6" xfId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5" fillId="4" borderId="5" xfId="1" applyFont="1" applyFill="1" applyBorder="1" applyAlignment="1">
      <alignment horizontal="center"/>
    </xf>
    <xf numFmtId="0" fontId="5" fillId="4" borderId="6" xfId="1" applyFont="1" applyFill="1" applyBorder="1" applyAlignment="1">
      <alignment horizontal="center"/>
    </xf>
    <xf numFmtId="0" fontId="5" fillId="4" borderId="7" xfId="1" applyFont="1" applyFill="1" applyBorder="1" applyAlignment="1">
      <alignment horizontal="center"/>
    </xf>
    <xf numFmtId="0" fontId="5" fillId="4" borderId="19" xfId="1" applyFont="1" applyFill="1" applyBorder="1" applyAlignment="1">
      <alignment horizontal="center"/>
    </xf>
    <xf numFmtId="0" fontId="5" fillId="4" borderId="20" xfId="1" applyFont="1" applyFill="1" applyBorder="1" applyAlignment="1">
      <alignment horizontal="center"/>
    </xf>
    <xf numFmtId="0" fontId="5" fillId="4" borderId="21" xfId="1" applyFont="1" applyFill="1" applyBorder="1" applyAlignment="1">
      <alignment horizontal="center"/>
    </xf>
    <xf numFmtId="0" fontId="3" fillId="0" borderId="0" xfId="2" applyFont="1" applyFill="1" applyAlignment="1"/>
    <xf numFmtId="0" fontId="0" fillId="0" borderId="2" xfId="0" applyFont="1" applyBorder="1" applyAlignment="1"/>
    <xf numFmtId="0" fontId="7" fillId="0" borderId="0" xfId="0" applyFont="1" applyAlignment="1"/>
    <xf numFmtId="0" fontId="2" fillId="0" borderId="0" xfId="0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0" fontId="0" fillId="0" borderId="4" xfId="0" applyFont="1" applyBorder="1" applyAlignment="1"/>
    <xf numFmtId="0" fontId="0" fillId="0" borderId="29" xfId="0" applyFont="1" applyBorder="1" applyAlignment="1"/>
    <xf numFmtId="0" fontId="0" fillId="0" borderId="30" xfId="0" applyFont="1" applyBorder="1" applyAlignment="1"/>
    <xf numFmtId="0" fontId="0" fillId="0" borderId="26" xfId="0" applyFont="1" applyBorder="1" applyAlignment="1"/>
    <xf numFmtId="0" fontId="0" fillId="0" borderId="31" xfId="0" applyFont="1" applyBorder="1" applyAlignment="1"/>
    <xf numFmtId="0" fontId="0" fillId="0" borderId="1" xfId="0" applyFont="1" applyBorder="1" applyAlignment="1"/>
    <xf numFmtId="0" fontId="0" fillId="0" borderId="9" xfId="0" applyFont="1" applyBorder="1" applyAlignment="1"/>
    <xf numFmtId="0" fontId="0" fillId="0" borderId="28" xfId="0" applyFont="1" applyBorder="1" applyAlignment="1"/>
    <xf numFmtId="0" fontId="1" fillId="0" borderId="0" xfId="0" applyFont="1" applyFill="1" applyAlignment="1"/>
    <xf numFmtId="164" fontId="1" fillId="0" borderId="0" xfId="0" applyNumberFormat="1" applyFont="1" applyFill="1" applyAlignment="1"/>
    <xf numFmtId="0" fontId="7" fillId="4" borderId="27" xfId="0" applyFont="1" applyFill="1" applyBorder="1" applyAlignment="1"/>
    <xf numFmtId="0" fontId="7" fillId="4" borderId="11" xfId="0" applyFont="1" applyFill="1" applyBorder="1" applyAlignment="1"/>
    <xf numFmtId="0" fontId="7" fillId="4" borderId="12" xfId="0" applyFont="1" applyFill="1" applyBorder="1" applyAlignment="1"/>
    <xf numFmtId="0" fontId="9" fillId="0" borderId="32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24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1" fillId="0" borderId="16" xfId="2" applyFont="1" applyBorder="1" applyAlignment="1"/>
    <xf numFmtId="0" fontId="1" fillId="0" borderId="17" xfId="2" applyFont="1" applyBorder="1" applyAlignment="1"/>
    <xf numFmtId="0" fontId="1" fillId="0" borderId="22" xfId="2" applyFont="1" applyBorder="1" applyAlignment="1"/>
    <xf numFmtId="0" fontId="1" fillId="0" borderId="18" xfId="2" applyFont="1" applyBorder="1" applyAlignment="1"/>
    <xf numFmtId="0" fontId="1" fillId="0" borderId="14" xfId="2" applyFont="1" applyBorder="1" applyAlignment="1"/>
    <xf numFmtId="0" fontId="1" fillId="0" borderId="23" xfId="2" applyFont="1" applyBorder="1" applyAlignment="1"/>
  </cellXfs>
  <cellStyles count="3">
    <cellStyle name="Neutral" xfId="1" builtinId="28"/>
    <cellStyle name="Normal" xfId="0" builtinId="0"/>
    <cellStyle name="Normal 2" xfId="2" xr:uid="{00000000-0005-0000-0000-000002000000}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4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9FF66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9FF66"/>
        </patternFill>
      </fill>
    </dxf>
    <dxf>
      <fill>
        <patternFill>
          <bgColor rgb="FF00CC00"/>
        </patternFill>
      </fill>
    </dxf>
    <dxf>
      <fill>
        <patternFill>
          <bgColor rgb="FFFFFF00"/>
        </patternFill>
      </fill>
    </dxf>
    <dxf>
      <fill>
        <patternFill>
          <bgColor rgb="FFFF9933"/>
        </patternFill>
      </fill>
    </dxf>
    <dxf>
      <fill>
        <patternFill>
          <bgColor rgb="FFFF0000"/>
        </patternFill>
      </fill>
    </dxf>
    <dxf>
      <fill>
        <patternFill>
          <bgColor rgb="FF99FF66"/>
        </patternFill>
      </fill>
    </dxf>
    <dxf>
      <fill>
        <patternFill>
          <bgColor rgb="FF00CC00"/>
        </patternFill>
      </fill>
    </dxf>
    <dxf>
      <fill>
        <patternFill>
          <bgColor rgb="FFFFFF00"/>
        </patternFill>
      </fill>
    </dxf>
    <dxf>
      <fill>
        <patternFill>
          <bgColor rgb="FFFF993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FF66"/>
      <color rgb="FF00CC00"/>
      <color rgb="FFCCFF33"/>
      <color rgb="FF99FF33"/>
      <color rgb="FFFF9933"/>
      <color rgb="FF33CC33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22</xdr:row>
      <xdr:rowOff>30480</xdr:rowOff>
    </xdr:from>
    <xdr:to>
      <xdr:col>0</xdr:col>
      <xdr:colOff>944880</xdr:colOff>
      <xdr:row>23</xdr:row>
      <xdr:rowOff>160020</xdr:rowOff>
    </xdr:to>
    <xdr:sp macro="" textlink="">
      <xdr:nvSpPr>
        <xdr:cNvPr id="5124" name="Button 4" hidden="1">
          <a:extLst>
            <a:ext uri="{63B3BB69-23CF-44E3-9099-C40C66FF867C}">
              <a14:compatExt xmlns:a14="http://schemas.microsoft.com/office/drawing/2010/main" spid="_x0000_s5124"/>
            </a:ext>
            <a:ext uri="{FF2B5EF4-FFF2-40B4-BE49-F238E27FC236}">
              <a16:creationId xmlns:a16="http://schemas.microsoft.com/office/drawing/2014/main" id="{00000000-0008-0000-0100-000004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J21" totalsRowShown="0" headerRowDxfId="45" dataDxfId="44" headerRowBorderDxfId="42" tableBorderDxfId="43" totalsRowBorderDxfId="41">
  <tableColumns count="10">
    <tableColumn id="1" xr3:uid="{00000000-0010-0000-0000-000001000000}" name="Rank" dataDxfId="40"/>
    <tableColumn id="2" xr3:uid="{00000000-0010-0000-0000-000002000000}" name="Team" dataDxfId="39"/>
    <tableColumn id="3" xr3:uid="{00000000-0010-0000-0000-000003000000}" name="Played (H | A)" dataDxfId="38"/>
    <tableColumn id="4" xr3:uid="{00000000-0010-0000-0000-000004000000}" name="Won (H | A)" dataDxfId="37"/>
    <tableColumn id="5" xr3:uid="{00000000-0010-0000-0000-000005000000}" name="Drawn (H | A)" dataDxfId="36"/>
    <tableColumn id="6" xr3:uid="{00000000-0010-0000-0000-000006000000}" name="Lost (H | A)" dataDxfId="35"/>
    <tableColumn id="7" xr3:uid="{00000000-0010-0000-0000-000007000000}" name="GF" dataDxfId="34"/>
    <tableColumn id="8" xr3:uid="{00000000-0010-0000-0000-000008000000}" name="GA" dataDxfId="33"/>
    <tableColumn id="9" xr3:uid="{00000000-0010-0000-0000-000009000000}" name="GD" dataDxfId="32"/>
    <tableColumn id="10" xr3:uid="{00000000-0010-0000-0000-00000A000000}" name="Pts" dataDxfId="3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S503" totalsRowShown="0" headerRowDxfId="30" dataDxfId="29">
  <autoFilter ref="A1:S503" xr:uid="{00000000-0009-0000-0100-000003000000}"/>
  <tableColumns count="19">
    <tableColumn id="1" xr3:uid="{00000000-0010-0000-0100-000001000000}" name="Name" dataDxfId="28"/>
    <tableColumn id="2" xr3:uid="{00000000-0010-0000-0100-000002000000}" name="Team" dataDxfId="27"/>
    <tableColumn id="3" xr3:uid="{00000000-0010-0000-0100-000003000000}" name="Posn" dataDxfId="26"/>
    <tableColumn id="4" xr3:uid="{00000000-0010-0000-0100-000004000000}" name="Difficulty" dataDxfId="25"/>
    <tableColumn id="5" xr3:uid="{00000000-0010-0000-0100-000005000000}" name="£" dataDxfId="24"/>
    <tableColumn id="6" xr3:uid="{00000000-0010-0000-0100-000006000000}" name="GW Pts" dataDxfId="23"/>
    <tableColumn id="7" xr3:uid="{00000000-0010-0000-0100-000007000000}" name="Tot Pts" dataDxfId="22"/>
    <tableColumn id="8" xr3:uid="{00000000-0010-0000-0100-000008000000}" name="Mins" dataDxfId="21"/>
    <tableColumn id="9" xr3:uid="{00000000-0010-0000-0100-000009000000}" name="GW Games" dataDxfId="20"/>
    <tableColumn id="10" xr3:uid="{00000000-0010-0000-0100-00000A000000}" name="Tot Games" dataDxfId="19"/>
    <tableColumn id="11" xr3:uid="{00000000-0010-0000-0100-00000B000000}" name="PPG" dataDxfId="18"/>
    <tableColumn id="12" xr3:uid="{00000000-0010-0000-0100-00000C000000}" name="PPM" dataDxfId="17"/>
    <tableColumn id="13" xr3:uid="{00000000-0010-0000-0100-00000D000000}" name="PPMPG" dataDxfId="16"/>
    <tableColumn id="14" xr3:uid="{00000000-0010-0000-0100-00000E000000}" name="Pts L2W" dataDxfId="15"/>
    <tableColumn id="15" xr3:uid="{00000000-0010-0000-0100-00000F000000}" name="Pts L4W" dataDxfId="14"/>
    <tableColumn id="16" xr3:uid="{00000000-0010-0000-0100-000010000000}" name="Games L4W" dataDxfId="13"/>
    <tableColumn id="17" xr3:uid="{00000000-0010-0000-0100-000011000000}" name="PPG L4W" dataDxfId="12"/>
    <tableColumn id="18" xr3:uid="{00000000-0010-0000-0100-000012000000}" name="PPM L4W" dataDxfId="11"/>
    <tableColumn id="19" xr3:uid="{00000000-0010-0000-0100-000013000000}" name="PPMPG L4W" dataDxfId="1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H383" totalsRowShown="0" headerRowDxfId="9" dataDxfId="8">
  <autoFilter ref="A1:H383" xr:uid="{00000000-0009-0000-0100-000001000000}"/>
  <sortState xmlns:xlrd2="http://schemas.microsoft.com/office/spreadsheetml/2017/richdata2" ref="A2:G383">
    <sortCondition descending="1" ref="D1:D383"/>
  </sortState>
  <tableColumns count="8">
    <tableColumn id="1" xr3:uid="{00000000-0010-0000-0200-000001000000}" name="Player" dataDxfId="7"/>
    <tableColumn id="2" xr3:uid="{00000000-0010-0000-0200-000002000000}" name="Position" dataDxfId="6"/>
    <tableColumn id="3" xr3:uid="{00000000-0010-0000-0200-000003000000}" name="Team" dataDxfId="5"/>
    <tableColumn id="4" xr3:uid="{00000000-0010-0000-0200-000004000000}" name="Total Points" dataDxfId="4"/>
    <tableColumn id="5" xr3:uid="{00000000-0010-0000-0200-000005000000}" name="Minutes Played" dataDxfId="3"/>
    <tableColumn id="6" xr3:uid="{00000000-0010-0000-0200-000006000000}" name="Points Per 90 Minutes" dataDxfId="2">
      <calculatedColumnFormula>D2/E2*90</calculatedColumnFormula>
    </tableColumn>
    <tableColumn id="7" xr3:uid="{00000000-0010-0000-0200-000007000000}" name="Price (This Season)" dataDxfId="1"/>
    <tableColumn id="8" xr3:uid="{00000000-0010-0000-0200-000008000000}" name="Points Per 90 Minutes Per £Million" dataDxfId="0">
      <calculatedColumnFormula>(Table1[[#This Row],[Points Per 90 Minutes]]/G2)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48"/>
  <sheetViews>
    <sheetView zoomScale="90" zoomScaleNormal="90" workbookViewId="0">
      <selection activeCell="J48" sqref="J48"/>
    </sheetView>
  </sheetViews>
  <sheetFormatPr defaultColWidth="14.42578125" defaultRowHeight="15.75" customHeight="1" outlineLevelRow="1"/>
  <cols>
    <col min="2" max="39" width="5.28515625" customWidth="1"/>
  </cols>
  <sheetData>
    <row r="1" spans="1:39" ht="15.75" customHeight="1" thickBot="1">
      <c r="A1" s="23"/>
      <c r="B1" s="24">
        <v>1</v>
      </c>
      <c r="C1" s="25">
        <v>2</v>
      </c>
      <c r="D1" s="25">
        <v>3</v>
      </c>
      <c r="E1" s="25">
        <v>4</v>
      </c>
      <c r="F1" s="25">
        <v>5</v>
      </c>
      <c r="G1" s="25">
        <v>6</v>
      </c>
      <c r="H1" s="25">
        <v>7</v>
      </c>
      <c r="I1" s="25">
        <v>8</v>
      </c>
      <c r="J1" s="25">
        <v>9</v>
      </c>
      <c r="K1" s="25">
        <v>10</v>
      </c>
      <c r="L1" s="25">
        <v>11</v>
      </c>
      <c r="M1" s="25">
        <v>12</v>
      </c>
      <c r="N1" s="25">
        <v>13</v>
      </c>
      <c r="O1" s="25">
        <v>14</v>
      </c>
      <c r="P1" s="25">
        <v>15</v>
      </c>
      <c r="Q1" s="25">
        <v>16</v>
      </c>
      <c r="R1" s="25">
        <v>17</v>
      </c>
      <c r="S1" s="25">
        <v>18</v>
      </c>
      <c r="T1" s="25">
        <v>19</v>
      </c>
      <c r="U1" s="25">
        <v>20</v>
      </c>
      <c r="V1" s="25">
        <v>21</v>
      </c>
      <c r="W1" s="25">
        <v>22</v>
      </c>
      <c r="X1" s="25">
        <v>23</v>
      </c>
      <c r="Y1" s="25">
        <v>24</v>
      </c>
      <c r="Z1" s="25">
        <v>25</v>
      </c>
      <c r="AA1" s="25">
        <v>26</v>
      </c>
      <c r="AB1" s="25">
        <v>27</v>
      </c>
      <c r="AC1" s="25">
        <v>28</v>
      </c>
      <c r="AD1" s="25">
        <v>29</v>
      </c>
      <c r="AE1" s="25">
        <v>30</v>
      </c>
      <c r="AF1" s="25">
        <v>31</v>
      </c>
      <c r="AG1" s="25">
        <v>32</v>
      </c>
      <c r="AH1" s="25">
        <v>33</v>
      </c>
      <c r="AI1" s="25">
        <v>34</v>
      </c>
      <c r="AJ1" s="25">
        <v>35</v>
      </c>
      <c r="AK1" s="25">
        <v>36</v>
      </c>
      <c r="AL1" s="25">
        <v>37</v>
      </c>
      <c r="AM1" s="26">
        <v>38</v>
      </c>
    </row>
    <row r="2" spans="1:39" ht="15.75" customHeight="1">
      <c r="A2" s="28" t="s">
        <v>0</v>
      </c>
      <c r="B2" s="19" t="s">
        <v>1</v>
      </c>
      <c r="C2" s="20" t="s">
        <v>2</v>
      </c>
      <c r="D2" s="20" t="s">
        <v>3</v>
      </c>
      <c r="E2" s="20" t="s">
        <v>4</v>
      </c>
      <c r="F2" s="20" t="s">
        <v>5</v>
      </c>
      <c r="G2" s="20" t="s">
        <v>6</v>
      </c>
      <c r="H2" s="20" t="s">
        <v>7</v>
      </c>
      <c r="I2" s="20" t="s">
        <v>8</v>
      </c>
      <c r="J2" s="20" t="s">
        <v>9</v>
      </c>
      <c r="K2" s="20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0" t="s">
        <v>15</v>
      </c>
      <c r="Q2" s="20" t="s">
        <v>16</v>
      </c>
      <c r="R2" s="20" t="s">
        <v>17</v>
      </c>
      <c r="S2" s="20" t="s">
        <v>18</v>
      </c>
      <c r="T2" s="20" t="s">
        <v>19</v>
      </c>
      <c r="U2" s="20" t="s">
        <v>20</v>
      </c>
      <c r="V2" s="20" t="s">
        <v>21</v>
      </c>
      <c r="W2" s="20" t="s">
        <v>22</v>
      </c>
      <c r="X2" s="20" t="s">
        <v>23</v>
      </c>
      <c r="Y2" s="20" t="s">
        <v>24</v>
      </c>
      <c r="Z2" s="20" t="s">
        <v>25</v>
      </c>
      <c r="AA2" s="20" t="s">
        <v>26</v>
      </c>
      <c r="AB2" s="20" t="s">
        <v>27</v>
      </c>
      <c r="AC2" s="20" t="s">
        <v>28</v>
      </c>
      <c r="AD2" s="20" t="s">
        <v>29</v>
      </c>
      <c r="AE2" s="20" t="s">
        <v>30</v>
      </c>
      <c r="AF2" s="20" t="s">
        <v>31</v>
      </c>
      <c r="AG2" s="20" t="s">
        <v>32</v>
      </c>
      <c r="AH2" s="20" t="s">
        <v>33</v>
      </c>
      <c r="AI2" s="20" t="s">
        <v>34</v>
      </c>
      <c r="AJ2" s="20" t="s">
        <v>35</v>
      </c>
      <c r="AK2" s="20" t="s">
        <v>36</v>
      </c>
      <c r="AL2" s="20" t="s">
        <v>37</v>
      </c>
      <c r="AM2" s="20" t="s">
        <v>38</v>
      </c>
    </row>
    <row r="3" spans="1:39" ht="15.75" customHeight="1">
      <c r="A3" s="2" t="s">
        <v>38</v>
      </c>
      <c r="B3" s="21" t="s">
        <v>25</v>
      </c>
      <c r="C3" s="22" t="s">
        <v>8</v>
      </c>
      <c r="D3" s="22" t="s">
        <v>2</v>
      </c>
      <c r="E3" s="22" t="s">
        <v>15</v>
      </c>
      <c r="F3" s="22" t="s">
        <v>7</v>
      </c>
      <c r="G3" s="22" t="s">
        <v>30</v>
      </c>
      <c r="H3" s="22" t="s">
        <v>21</v>
      </c>
      <c r="I3" s="22" t="s">
        <v>5</v>
      </c>
      <c r="J3" s="22" t="s">
        <v>6</v>
      </c>
      <c r="K3" s="22" t="s">
        <v>28</v>
      </c>
      <c r="L3" s="22" t="s">
        <v>29</v>
      </c>
      <c r="M3" s="22" t="s">
        <v>17</v>
      </c>
      <c r="N3" s="22" t="s">
        <v>31</v>
      </c>
      <c r="O3" s="22" t="s">
        <v>32</v>
      </c>
      <c r="P3" s="22" t="s">
        <v>18</v>
      </c>
      <c r="Q3" s="22" t="s">
        <v>0</v>
      </c>
      <c r="R3" s="22" t="s">
        <v>4</v>
      </c>
      <c r="S3" s="22" t="s">
        <v>1</v>
      </c>
      <c r="T3" s="22" t="s">
        <v>14</v>
      </c>
      <c r="U3" s="22" t="s">
        <v>35</v>
      </c>
      <c r="V3" s="22" t="s">
        <v>34</v>
      </c>
      <c r="W3" s="22" t="s">
        <v>26</v>
      </c>
      <c r="X3" s="22" t="s">
        <v>13</v>
      </c>
      <c r="Y3" s="22" t="s">
        <v>33</v>
      </c>
      <c r="Z3" s="22" t="s">
        <v>36</v>
      </c>
      <c r="AA3" s="22" t="s">
        <v>3</v>
      </c>
      <c r="AB3" s="22" t="s">
        <v>22</v>
      </c>
      <c r="AC3" s="22" t="s">
        <v>10</v>
      </c>
      <c r="AD3" s="22" t="s">
        <v>37</v>
      </c>
      <c r="AE3" s="22" t="s">
        <v>12</v>
      </c>
      <c r="AF3" s="22" t="s">
        <v>11</v>
      </c>
      <c r="AG3" s="22" t="s">
        <v>23</v>
      </c>
      <c r="AH3" s="22" t="s">
        <v>19</v>
      </c>
      <c r="AI3" s="22" t="s">
        <v>27</v>
      </c>
      <c r="AJ3" s="22" t="s">
        <v>24</v>
      </c>
      <c r="AK3" s="22" t="s">
        <v>9</v>
      </c>
      <c r="AL3" s="22" t="s">
        <v>20</v>
      </c>
      <c r="AM3" s="22" t="s">
        <v>39</v>
      </c>
    </row>
    <row r="4" spans="1:39" ht="15.75" customHeight="1">
      <c r="A4" s="2" t="s">
        <v>19</v>
      </c>
      <c r="B4" s="21" t="s">
        <v>38</v>
      </c>
      <c r="C4" s="22" t="s">
        <v>21</v>
      </c>
      <c r="D4" s="22" t="s">
        <v>33</v>
      </c>
      <c r="E4" s="22" t="s">
        <v>26</v>
      </c>
      <c r="F4" s="22" t="s">
        <v>14</v>
      </c>
      <c r="G4" s="22" t="s">
        <v>15</v>
      </c>
      <c r="H4" s="22" t="s">
        <v>22</v>
      </c>
      <c r="I4" s="22" t="s">
        <v>32</v>
      </c>
      <c r="J4" s="22" t="s">
        <v>37</v>
      </c>
      <c r="K4" s="22" t="s">
        <v>12</v>
      </c>
      <c r="L4" s="22" t="s">
        <v>18</v>
      </c>
      <c r="M4" s="22" t="s">
        <v>20</v>
      </c>
      <c r="N4" s="22" t="s">
        <v>11</v>
      </c>
      <c r="O4" s="22" t="s">
        <v>10</v>
      </c>
      <c r="P4" s="22" t="s">
        <v>6</v>
      </c>
      <c r="Q4" s="22" t="s">
        <v>8</v>
      </c>
      <c r="R4" s="22" t="s">
        <v>13</v>
      </c>
      <c r="S4" s="22" t="s">
        <v>34</v>
      </c>
      <c r="T4" s="22" t="s">
        <v>39</v>
      </c>
      <c r="U4" s="22" t="s">
        <v>7</v>
      </c>
      <c r="V4" s="22" t="s">
        <v>1</v>
      </c>
      <c r="W4" s="22" t="s">
        <v>36</v>
      </c>
      <c r="X4" s="22" t="s">
        <v>35</v>
      </c>
      <c r="Y4" s="22" t="s">
        <v>2</v>
      </c>
      <c r="Z4" s="22" t="s">
        <v>0</v>
      </c>
      <c r="AA4" s="22" t="s">
        <v>5</v>
      </c>
      <c r="AB4" s="22" t="s">
        <v>9</v>
      </c>
      <c r="AC4" s="22" t="s">
        <v>24</v>
      </c>
      <c r="AD4" s="22" t="s">
        <v>4</v>
      </c>
      <c r="AE4" s="22" t="s">
        <v>28</v>
      </c>
      <c r="AF4" s="22" t="s">
        <v>29</v>
      </c>
      <c r="AG4" s="22" t="s">
        <v>17</v>
      </c>
      <c r="AH4" s="22" t="s">
        <v>16</v>
      </c>
      <c r="AI4" s="22" t="s">
        <v>3</v>
      </c>
      <c r="AJ4" s="22" t="s">
        <v>23</v>
      </c>
      <c r="AK4" s="22" t="s">
        <v>31</v>
      </c>
      <c r="AL4" s="22" t="s">
        <v>30</v>
      </c>
      <c r="AM4" s="22" t="s">
        <v>27</v>
      </c>
    </row>
    <row r="5" spans="1:39" ht="15.75" customHeight="1">
      <c r="A5" s="2" t="s">
        <v>23</v>
      </c>
      <c r="B5" s="21" t="s">
        <v>28</v>
      </c>
      <c r="C5" s="22" t="s">
        <v>37</v>
      </c>
      <c r="D5" s="22" t="s">
        <v>13</v>
      </c>
      <c r="E5" s="22" t="s">
        <v>34</v>
      </c>
      <c r="F5" s="22" t="s">
        <v>31</v>
      </c>
      <c r="G5" s="22" t="s">
        <v>0</v>
      </c>
      <c r="H5" s="22" t="s">
        <v>4</v>
      </c>
      <c r="I5" s="22" t="s">
        <v>24</v>
      </c>
      <c r="J5" s="22" t="s">
        <v>38</v>
      </c>
      <c r="K5" s="22" t="s">
        <v>33</v>
      </c>
      <c r="L5" s="22" t="s">
        <v>3</v>
      </c>
      <c r="M5" s="22" t="s">
        <v>22</v>
      </c>
      <c r="N5" s="22" t="s">
        <v>36</v>
      </c>
      <c r="O5" s="22" t="s">
        <v>29</v>
      </c>
      <c r="P5" s="22" t="s">
        <v>19</v>
      </c>
      <c r="Q5" s="22" t="s">
        <v>7</v>
      </c>
      <c r="R5" s="22" t="s">
        <v>15</v>
      </c>
      <c r="S5" s="22" t="s">
        <v>32</v>
      </c>
      <c r="T5" s="22" t="s">
        <v>27</v>
      </c>
      <c r="U5" s="22" t="s">
        <v>2</v>
      </c>
      <c r="V5" s="22" t="s">
        <v>30</v>
      </c>
      <c r="W5" s="22" t="s">
        <v>10</v>
      </c>
      <c r="X5" s="22" t="s">
        <v>39</v>
      </c>
      <c r="Y5" s="22" t="s">
        <v>9</v>
      </c>
      <c r="Z5" s="22" t="s">
        <v>8</v>
      </c>
      <c r="AA5" s="22" t="s">
        <v>20</v>
      </c>
      <c r="AB5" s="22" t="s">
        <v>18</v>
      </c>
      <c r="AC5" s="22" t="s">
        <v>14</v>
      </c>
      <c r="AD5" s="22" t="s">
        <v>5</v>
      </c>
      <c r="AE5" s="22" t="s">
        <v>21</v>
      </c>
      <c r="AF5" s="22" t="s">
        <v>1</v>
      </c>
      <c r="AG5" s="22" t="s">
        <v>16</v>
      </c>
      <c r="AH5" s="22" t="s">
        <v>11</v>
      </c>
      <c r="AI5" s="22" t="s">
        <v>17</v>
      </c>
      <c r="AJ5" s="22" t="s">
        <v>25</v>
      </c>
      <c r="AK5" s="22" t="s">
        <v>12</v>
      </c>
      <c r="AL5" s="22" t="s">
        <v>35</v>
      </c>
      <c r="AM5" s="22" t="s">
        <v>26</v>
      </c>
    </row>
    <row r="6" spans="1:39" ht="15.75" customHeight="1">
      <c r="A6" s="2" t="s">
        <v>34</v>
      </c>
      <c r="B6" s="21" t="s">
        <v>14</v>
      </c>
      <c r="C6" s="22" t="s">
        <v>0</v>
      </c>
      <c r="D6" s="22" t="s">
        <v>38</v>
      </c>
      <c r="E6" s="22" t="s">
        <v>6</v>
      </c>
      <c r="F6" s="22" t="s">
        <v>17</v>
      </c>
      <c r="G6" s="22" t="s">
        <v>29</v>
      </c>
      <c r="H6" s="22" t="s">
        <v>9</v>
      </c>
      <c r="I6" s="22" t="s">
        <v>30</v>
      </c>
      <c r="J6" s="22" t="s">
        <v>1</v>
      </c>
      <c r="K6" s="22" t="s">
        <v>7</v>
      </c>
      <c r="L6" s="22" t="s">
        <v>8</v>
      </c>
      <c r="M6" s="22" t="s">
        <v>21</v>
      </c>
      <c r="N6" s="22" t="s">
        <v>15</v>
      </c>
      <c r="O6" s="22" t="s">
        <v>20</v>
      </c>
      <c r="P6" s="22" t="s">
        <v>31</v>
      </c>
      <c r="Q6" s="22" t="s">
        <v>24</v>
      </c>
      <c r="R6" s="22" t="s">
        <v>22</v>
      </c>
      <c r="S6" s="22" t="s">
        <v>25</v>
      </c>
      <c r="T6" s="22" t="s">
        <v>28</v>
      </c>
      <c r="U6" s="22" t="s">
        <v>23</v>
      </c>
      <c r="V6" s="22" t="s">
        <v>16</v>
      </c>
      <c r="W6" s="22" t="s">
        <v>37</v>
      </c>
      <c r="X6" s="22" t="s">
        <v>12</v>
      </c>
      <c r="Y6" s="22" t="s">
        <v>19</v>
      </c>
      <c r="Z6" s="22" t="s">
        <v>11</v>
      </c>
      <c r="AA6" s="22" t="s">
        <v>32</v>
      </c>
      <c r="AB6" s="22" t="s">
        <v>13</v>
      </c>
      <c r="AC6" s="22" t="s">
        <v>35</v>
      </c>
      <c r="AD6" s="22" t="s">
        <v>3</v>
      </c>
      <c r="AE6" s="22" t="s">
        <v>27</v>
      </c>
      <c r="AF6" s="22" t="s">
        <v>26</v>
      </c>
      <c r="AG6" s="22" t="s">
        <v>33</v>
      </c>
      <c r="AH6" s="22" t="s">
        <v>36</v>
      </c>
      <c r="AI6" s="22" t="s">
        <v>39</v>
      </c>
      <c r="AJ6" s="22" t="s">
        <v>10</v>
      </c>
      <c r="AK6" s="22" t="s">
        <v>4</v>
      </c>
      <c r="AL6" s="22" t="s">
        <v>5</v>
      </c>
      <c r="AM6" s="22" t="s">
        <v>18</v>
      </c>
    </row>
    <row r="7" spans="1:39" ht="15.75" customHeight="1">
      <c r="A7" s="2" t="s">
        <v>10</v>
      </c>
      <c r="B7" s="21" t="s">
        <v>32</v>
      </c>
      <c r="C7" s="22" t="s">
        <v>18</v>
      </c>
      <c r="D7" s="22" t="s">
        <v>17</v>
      </c>
      <c r="E7" s="22" t="s">
        <v>29</v>
      </c>
      <c r="F7" s="22" t="s">
        <v>23</v>
      </c>
      <c r="G7" s="22" t="s">
        <v>11</v>
      </c>
      <c r="H7" s="22" t="s">
        <v>13</v>
      </c>
      <c r="I7" s="22" t="s">
        <v>3</v>
      </c>
      <c r="J7" s="22" t="s">
        <v>8</v>
      </c>
      <c r="K7" s="22" t="s">
        <v>39</v>
      </c>
      <c r="L7" s="22" t="s">
        <v>15</v>
      </c>
      <c r="M7" s="22" t="s">
        <v>33</v>
      </c>
      <c r="N7" s="22" t="s">
        <v>38</v>
      </c>
      <c r="O7" s="22" t="s">
        <v>25</v>
      </c>
      <c r="P7" s="22" t="s">
        <v>34</v>
      </c>
      <c r="Q7" s="22" t="s">
        <v>14</v>
      </c>
      <c r="R7" s="22" t="s">
        <v>26</v>
      </c>
      <c r="S7" s="22" t="s">
        <v>4</v>
      </c>
      <c r="T7" s="22" t="s">
        <v>5</v>
      </c>
      <c r="U7" s="22" t="s">
        <v>12</v>
      </c>
      <c r="V7" s="22" t="s">
        <v>37</v>
      </c>
      <c r="W7" s="22" t="s">
        <v>6</v>
      </c>
      <c r="X7" s="22" t="s">
        <v>28</v>
      </c>
      <c r="Y7" s="22" t="s">
        <v>20</v>
      </c>
      <c r="Z7" s="22" t="s">
        <v>22</v>
      </c>
      <c r="AA7" s="22" t="s">
        <v>30</v>
      </c>
      <c r="AB7" s="22" t="s">
        <v>21</v>
      </c>
      <c r="AC7" s="22" t="s">
        <v>16</v>
      </c>
      <c r="AD7" s="22" t="s">
        <v>1</v>
      </c>
      <c r="AE7" s="22" t="s">
        <v>35</v>
      </c>
      <c r="AF7" s="22" t="s">
        <v>0</v>
      </c>
      <c r="AG7" s="22" t="s">
        <v>27</v>
      </c>
      <c r="AH7" s="22" t="s">
        <v>9</v>
      </c>
      <c r="AI7" s="22" t="s">
        <v>24</v>
      </c>
      <c r="AJ7" s="22" t="s">
        <v>2</v>
      </c>
      <c r="AK7" s="22" t="s">
        <v>19</v>
      </c>
      <c r="AL7" s="22" t="s">
        <v>7</v>
      </c>
      <c r="AM7" s="22" t="s">
        <v>36</v>
      </c>
    </row>
    <row r="8" spans="1:39" ht="15.75" customHeight="1">
      <c r="A8" s="2" t="s">
        <v>26</v>
      </c>
      <c r="B8" s="21" t="s">
        <v>15</v>
      </c>
      <c r="C8" s="22" t="s">
        <v>33</v>
      </c>
      <c r="D8" s="22" t="s">
        <v>12</v>
      </c>
      <c r="E8" s="22" t="s">
        <v>25</v>
      </c>
      <c r="F8" s="22" t="s">
        <v>38</v>
      </c>
      <c r="G8" s="22" t="s">
        <v>22</v>
      </c>
      <c r="H8" s="22" t="s">
        <v>0</v>
      </c>
      <c r="I8" s="22" t="s">
        <v>14</v>
      </c>
      <c r="J8" s="22" t="s">
        <v>18</v>
      </c>
      <c r="K8" s="22" t="s">
        <v>34</v>
      </c>
      <c r="L8" s="22" t="s">
        <v>13</v>
      </c>
      <c r="M8" s="22" t="s">
        <v>32</v>
      </c>
      <c r="N8" s="22" t="s">
        <v>4</v>
      </c>
      <c r="O8" s="22" t="s">
        <v>8</v>
      </c>
      <c r="P8" s="22" t="s">
        <v>11</v>
      </c>
      <c r="Q8" s="22" t="s">
        <v>23</v>
      </c>
      <c r="R8" s="22" t="s">
        <v>31</v>
      </c>
      <c r="S8" s="22" t="s">
        <v>21</v>
      </c>
      <c r="T8" s="22" t="s">
        <v>17</v>
      </c>
      <c r="U8" s="22" t="s">
        <v>19</v>
      </c>
      <c r="V8" s="22" t="s">
        <v>29</v>
      </c>
      <c r="W8" s="22" t="s">
        <v>16</v>
      </c>
      <c r="X8" s="22" t="s">
        <v>5</v>
      </c>
      <c r="Y8" s="22" t="s">
        <v>3</v>
      </c>
      <c r="Z8" s="22" t="s">
        <v>37</v>
      </c>
      <c r="AA8" s="22" t="s">
        <v>39</v>
      </c>
      <c r="AB8" s="22" t="s">
        <v>36</v>
      </c>
      <c r="AC8" s="22" t="s">
        <v>30</v>
      </c>
      <c r="AD8" s="22" t="s">
        <v>9</v>
      </c>
      <c r="AE8" s="22" t="s">
        <v>20</v>
      </c>
      <c r="AF8" s="22" t="s">
        <v>2</v>
      </c>
      <c r="AG8" s="22" t="s">
        <v>24</v>
      </c>
      <c r="AH8" s="22" t="s">
        <v>35</v>
      </c>
      <c r="AI8" s="22" t="s">
        <v>1</v>
      </c>
      <c r="AJ8" s="22" t="s">
        <v>28</v>
      </c>
      <c r="AK8" s="22" t="s">
        <v>27</v>
      </c>
      <c r="AL8" s="22" t="s">
        <v>10</v>
      </c>
      <c r="AM8" s="22" t="s">
        <v>6</v>
      </c>
    </row>
    <row r="9" spans="1:39" ht="15.75" customHeight="1">
      <c r="A9" s="2" t="s">
        <v>3</v>
      </c>
      <c r="B9" s="21" t="s">
        <v>22</v>
      </c>
      <c r="C9" s="22" t="s">
        <v>19</v>
      </c>
      <c r="D9" s="22" t="s">
        <v>39</v>
      </c>
      <c r="E9" s="22" t="s">
        <v>1</v>
      </c>
      <c r="F9" s="22" t="s">
        <v>27</v>
      </c>
      <c r="G9" s="22" t="s">
        <v>36</v>
      </c>
      <c r="H9" s="22" t="s">
        <v>38</v>
      </c>
      <c r="I9" s="22" t="s">
        <v>31</v>
      </c>
      <c r="J9" s="22" t="s">
        <v>29</v>
      </c>
      <c r="K9" s="22" t="s">
        <v>24</v>
      </c>
      <c r="L9" s="22" t="s">
        <v>6</v>
      </c>
      <c r="M9" s="22" t="s">
        <v>34</v>
      </c>
      <c r="N9" s="22" t="s">
        <v>37</v>
      </c>
      <c r="O9" s="22" t="s">
        <v>28</v>
      </c>
      <c r="P9" s="22" t="s">
        <v>4</v>
      </c>
      <c r="Q9" s="22" t="s">
        <v>30</v>
      </c>
      <c r="R9" s="22" t="s">
        <v>9</v>
      </c>
      <c r="S9" s="22" t="s">
        <v>26</v>
      </c>
      <c r="T9" s="22" t="s">
        <v>35</v>
      </c>
      <c r="U9" s="22" t="s">
        <v>33</v>
      </c>
      <c r="V9" s="22" t="s">
        <v>0</v>
      </c>
      <c r="W9" s="22" t="s">
        <v>8</v>
      </c>
      <c r="X9" s="22" t="s">
        <v>14</v>
      </c>
      <c r="Y9" s="22" t="s">
        <v>7</v>
      </c>
      <c r="Z9" s="22" t="s">
        <v>15</v>
      </c>
      <c r="AA9" s="22" t="s">
        <v>16</v>
      </c>
      <c r="AB9" s="22" t="s">
        <v>10</v>
      </c>
      <c r="AC9" s="22" t="s">
        <v>17</v>
      </c>
      <c r="AD9" s="22" t="s">
        <v>2</v>
      </c>
      <c r="AE9" s="22" t="s">
        <v>23</v>
      </c>
      <c r="AF9" s="22" t="s">
        <v>18</v>
      </c>
      <c r="AG9" s="22" t="s">
        <v>12</v>
      </c>
      <c r="AH9" s="22" t="s">
        <v>5</v>
      </c>
      <c r="AI9" s="22" t="s">
        <v>25</v>
      </c>
      <c r="AJ9" s="22" t="s">
        <v>20</v>
      </c>
      <c r="AK9" s="22" t="s">
        <v>11</v>
      </c>
      <c r="AL9" s="22" t="s">
        <v>32</v>
      </c>
      <c r="AM9" s="22" t="s">
        <v>13</v>
      </c>
    </row>
    <row r="10" spans="1:39" ht="15.75" customHeight="1">
      <c r="A10" s="2" t="s">
        <v>17</v>
      </c>
      <c r="B10" s="21" t="s">
        <v>13</v>
      </c>
      <c r="C10" s="22" t="s">
        <v>23</v>
      </c>
      <c r="D10" s="22" t="s">
        <v>31</v>
      </c>
      <c r="E10" s="22" t="s">
        <v>32</v>
      </c>
      <c r="F10" s="22" t="s">
        <v>2</v>
      </c>
      <c r="G10" s="22" t="s">
        <v>1</v>
      </c>
      <c r="H10" s="22" t="s">
        <v>29</v>
      </c>
      <c r="I10" s="22" t="s">
        <v>20</v>
      </c>
      <c r="J10" s="22" t="s">
        <v>19</v>
      </c>
      <c r="K10" s="22" t="s">
        <v>27</v>
      </c>
      <c r="L10" s="22" t="s">
        <v>36</v>
      </c>
      <c r="M10" s="22" t="s">
        <v>16</v>
      </c>
      <c r="N10" s="22" t="s">
        <v>3</v>
      </c>
      <c r="O10" s="22" t="s">
        <v>24</v>
      </c>
      <c r="P10" s="22" t="s">
        <v>22</v>
      </c>
      <c r="Q10" s="22" t="s">
        <v>28</v>
      </c>
      <c r="R10" s="22" t="s">
        <v>39</v>
      </c>
      <c r="S10" s="22" t="s">
        <v>15</v>
      </c>
      <c r="T10" s="22" t="s">
        <v>7</v>
      </c>
      <c r="U10" s="22" t="s">
        <v>9</v>
      </c>
      <c r="V10" s="22" t="s">
        <v>10</v>
      </c>
      <c r="W10" s="22" t="s">
        <v>34</v>
      </c>
      <c r="X10" s="22" t="s">
        <v>33</v>
      </c>
      <c r="Y10" s="22" t="s">
        <v>35</v>
      </c>
      <c r="Z10" s="22" t="s">
        <v>26</v>
      </c>
      <c r="AA10" s="22" t="s">
        <v>12</v>
      </c>
      <c r="AB10" s="22" t="s">
        <v>4</v>
      </c>
      <c r="AC10" s="22" t="s">
        <v>21</v>
      </c>
      <c r="AD10" s="22" t="s">
        <v>38</v>
      </c>
      <c r="AE10" s="22" t="s">
        <v>14</v>
      </c>
      <c r="AF10" s="22" t="s">
        <v>8</v>
      </c>
      <c r="AG10" s="22" t="s">
        <v>25</v>
      </c>
      <c r="AH10" s="22" t="s">
        <v>30</v>
      </c>
      <c r="AI10" s="22" t="s">
        <v>6</v>
      </c>
      <c r="AJ10" s="22" t="s">
        <v>5</v>
      </c>
      <c r="AK10" s="22" t="s">
        <v>18</v>
      </c>
      <c r="AL10" s="22" t="s">
        <v>0</v>
      </c>
      <c r="AM10" s="22" t="s">
        <v>11</v>
      </c>
    </row>
    <row r="11" spans="1:39" ht="15.75" customHeight="1">
      <c r="A11" s="2" t="s">
        <v>8</v>
      </c>
      <c r="B11" s="21" t="s">
        <v>12</v>
      </c>
      <c r="C11" s="22" t="s">
        <v>16</v>
      </c>
      <c r="D11" s="22" t="s">
        <v>20</v>
      </c>
      <c r="E11" s="22" t="s">
        <v>11</v>
      </c>
      <c r="F11" s="22" t="s">
        <v>3</v>
      </c>
      <c r="G11" s="22" t="s">
        <v>18</v>
      </c>
      <c r="H11" s="22" t="s">
        <v>15</v>
      </c>
      <c r="I11" s="22" t="s">
        <v>39</v>
      </c>
      <c r="J11" s="22" t="s">
        <v>31</v>
      </c>
      <c r="K11" s="22" t="s">
        <v>17</v>
      </c>
      <c r="L11" s="22" t="s">
        <v>2</v>
      </c>
      <c r="M11" s="22" t="s">
        <v>30</v>
      </c>
      <c r="N11" s="22" t="s">
        <v>9</v>
      </c>
      <c r="O11" s="22" t="s">
        <v>7</v>
      </c>
      <c r="P11" s="22" t="s">
        <v>1</v>
      </c>
      <c r="Q11" s="22" t="s">
        <v>25</v>
      </c>
      <c r="R11" s="22" t="s">
        <v>36</v>
      </c>
      <c r="S11" s="22" t="s">
        <v>22</v>
      </c>
      <c r="T11" s="22" t="s">
        <v>23</v>
      </c>
      <c r="U11" s="22" t="s">
        <v>28</v>
      </c>
      <c r="V11" s="22" t="s">
        <v>4</v>
      </c>
      <c r="W11" s="22" t="s">
        <v>21</v>
      </c>
      <c r="X11" s="22" t="s">
        <v>24</v>
      </c>
      <c r="Y11" s="22" t="s">
        <v>5</v>
      </c>
      <c r="Z11" s="22" t="s">
        <v>6</v>
      </c>
      <c r="AA11" s="22" t="s">
        <v>35</v>
      </c>
      <c r="AB11" s="22" t="s">
        <v>0</v>
      </c>
      <c r="AC11" s="22" t="s">
        <v>32</v>
      </c>
      <c r="AD11" s="22" t="s">
        <v>13</v>
      </c>
      <c r="AE11" s="22" t="s">
        <v>34</v>
      </c>
      <c r="AF11" s="22" t="s">
        <v>37</v>
      </c>
      <c r="AG11" s="22" t="s">
        <v>10</v>
      </c>
      <c r="AH11" s="22" t="s">
        <v>29</v>
      </c>
      <c r="AI11" s="22" t="s">
        <v>38</v>
      </c>
      <c r="AJ11" s="22" t="s">
        <v>33</v>
      </c>
      <c r="AK11" s="22" t="s">
        <v>26</v>
      </c>
      <c r="AL11" s="22" t="s">
        <v>14</v>
      </c>
      <c r="AM11" s="22" t="s">
        <v>19</v>
      </c>
    </row>
    <row r="12" spans="1:39" ht="15.75" customHeight="1">
      <c r="A12" s="2" t="s">
        <v>20</v>
      </c>
      <c r="B12" s="21" t="s">
        <v>24</v>
      </c>
      <c r="C12" s="22" t="s">
        <v>11</v>
      </c>
      <c r="D12" s="22" t="s">
        <v>27</v>
      </c>
      <c r="E12" s="22" t="s">
        <v>0</v>
      </c>
      <c r="F12" s="22" t="s">
        <v>33</v>
      </c>
      <c r="G12" s="22" t="s">
        <v>32</v>
      </c>
      <c r="H12" s="22" t="s">
        <v>23</v>
      </c>
      <c r="I12" s="22" t="s">
        <v>37</v>
      </c>
      <c r="J12" s="22" t="s">
        <v>36</v>
      </c>
      <c r="K12" s="22" t="s">
        <v>35</v>
      </c>
      <c r="L12" s="22" t="s">
        <v>5</v>
      </c>
      <c r="M12" s="22" t="s">
        <v>25</v>
      </c>
      <c r="N12" s="22" t="s">
        <v>26</v>
      </c>
      <c r="O12" s="22" t="s">
        <v>2</v>
      </c>
      <c r="P12" s="22" t="s">
        <v>3</v>
      </c>
      <c r="Q12" s="22" t="s">
        <v>29</v>
      </c>
      <c r="R12" s="22" t="s">
        <v>38</v>
      </c>
      <c r="S12" s="22" t="s">
        <v>10</v>
      </c>
      <c r="T12" s="22" t="s">
        <v>13</v>
      </c>
      <c r="U12" s="22" t="s">
        <v>39</v>
      </c>
      <c r="V12" s="22" t="s">
        <v>8</v>
      </c>
      <c r="W12" s="22" t="s">
        <v>1</v>
      </c>
      <c r="X12" s="22" t="s">
        <v>9</v>
      </c>
      <c r="Y12" s="22" t="s">
        <v>31</v>
      </c>
      <c r="Z12" s="22" t="s">
        <v>30</v>
      </c>
      <c r="AA12" s="22" t="s">
        <v>6</v>
      </c>
      <c r="AB12" s="22" t="s">
        <v>17</v>
      </c>
      <c r="AC12" s="22" t="s">
        <v>22</v>
      </c>
      <c r="AD12" s="22" t="s">
        <v>19</v>
      </c>
      <c r="AE12" s="22" t="s">
        <v>7</v>
      </c>
      <c r="AF12" s="22" t="s">
        <v>15</v>
      </c>
      <c r="AG12" s="22" t="s">
        <v>14</v>
      </c>
      <c r="AH12" s="22" t="s">
        <v>18</v>
      </c>
      <c r="AI12" s="22" t="s">
        <v>28</v>
      </c>
      <c r="AJ12" s="22" t="s">
        <v>21</v>
      </c>
      <c r="AK12" s="22" t="s">
        <v>34</v>
      </c>
      <c r="AL12" s="22" t="s">
        <v>16</v>
      </c>
      <c r="AM12" s="22" t="s">
        <v>12</v>
      </c>
    </row>
    <row r="13" spans="1:39" ht="15.75" customHeight="1">
      <c r="A13" s="2" t="s">
        <v>36</v>
      </c>
      <c r="B13" s="21" t="s">
        <v>34</v>
      </c>
      <c r="C13" s="22" t="s">
        <v>35</v>
      </c>
      <c r="D13" s="22" t="s">
        <v>5</v>
      </c>
      <c r="E13" s="22" t="s">
        <v>18</v>
      </c>
      <c r="F13" s="22" t="s">
        <v>19</v>
      </c>
      <c r="G13" s="22" t="s">
        <v>21</v>
      </c>
      <c r="H13" s="22" t="s">
        <v>33</v>
      </c>
      <c r="I13" s="22" t="s">
        <v>26</v>
      </c>
      <c r="J13" s="22" t="s">
        <v>4</v>
      </c>
      <c r="K13" s="22" t="s">
        <v>30</v>
      </c>
      <c r="L13" s="22" t="s">
        <v>37</v>
      </c>
      <c r="M13" s="22" t="s">
        <v>28</v>
      </c>
      <c r="N13" s="22" t="s">
        <v>6</v>
      </c>
      <c r="O13" s="22" t="s">
        <v>0</v>
      </c>
      <c r="P13" s="22" t="s">
        <v>9</v>
      </c>
      <c r="Q13" s="22" t="s">
        <v>10</v>
      </c>
      <c r="R13" s="22" t="s">
        <v>27</v>
      </c>
      <c r="S13" s="22" t="s">
        <v>29</v>
      </c>
      <c r="T13" s="22" t="s">
        <v>38</v>
      </c>
      <c r="U13" s="22" t="s">
        <v>24</v>
      </c>
      <c r="V13" s="22" t="s">
        <v>22</v>
      </c>
      <c r="W13" s="22" t="s">
        <v>25</v>
      </c>
      <c r="X13" s="22" t="s">
        <v>3</v>
      </c>
      <c r="Y13" s="22" t="s">
        <v>12</v>
      </c>
      <c r="Z13" s="22" t="s">
        <v>16</v>
      </c>
      <c r="AA13" s="22" t="s">
        <v>1</v>
      </c>
      <c r="AB13" s="22" t="s">
        <v>7</v>
      </c>
      <c r="AC13" s="22" t="s">
        <v>23</v>
      </c>
      <c r="AD13" s="22" t="s">
        <v>11</v>
      </c>
      <c r="AE13" s="22" t="s">
        <v>17</v>
      </c>
      <c r="AF13" s="22" t="s">
        <v>13</v>
      </c>
      <c r="AG13" s="22" t="s">
        <v>20</v>
      </c>
      <c r="AH13" s="22" t="s">
        <v>2</v>
      </c>
      <c r="AI13" s="22" t="s">
        <v>15</v>
      </c>
      <c r="AJ13" s="22" t="s">
        <v>32</v>
      </c>
      <c r="AK13" s="22" t="s">
        <v>39</v>
      </c>
      <c r="AL13" s="22" t="s">
        <v>8</v>
      </c>
      <c r="AM13" s="22" t="s">
        <v>31</v>
      </c>
    </row>
    <row r="14" spans="1:39" ht="15.75" customHeight="1">
      <c r="A14" s="2" t="s">
        <v>24</v>
      </c>
      <c r="B14" s="21" t="s">
        <v>4</v>
      </c>
      <c r="C14" s="22" t="s">
        <v>10</v>
      </c>
      <c r="D14" s="22" t="s">
        <v>9</v>
      </c>
      <c r="E14" s="22" t="s">
        <v>36</v>
      </c>
      <c r="F14" s="22" t="s">
        <v>13</v>
      </c>
      <c r="G14" s="22" t="s">
        <v>8</v>
      </c>
      <c r="H14" s="22" t="s">
        <v>28</v>
      </c>
      <c r="I14" s="22" t="s">
        <v>6</v>
      </c>
      <c r="J14" s="22" t="s">
        <v>26</v>
      </c>
      <c r="K14" s="22" t="s">
        <v>21</v>
      </c>
      <c r="L14" s="22" t="s">
        <v>19</v>
      </c>
      <c r="M14" s="22" t="s">
        <v>35</v>
      </c>
      <c r="N14" s="22" t="s">
        <v>5</v>
      </c>
      <c r="O14" s="22" t="s">
        <v>37</v>
      </c>
      <c r="P14" s="22" t="s">
        <v>38</v>
      </c>
      <c r="Q14" s="22" t="s">
        <v>2</v>
      </c>
      <c r="R14" s="22" t="s">
        <v>12</v>
      </c>
      <c r="S14" s="22" t="s">
        <v>0</v>
      </c>
      <c r="T14" s="22" t="s">
        <v>33</v>
      </c>
      <c r="U14" s="22" t="s">
        <v>14</v>
      </c>
      <c r="V14" s="22" t="s">
        <v>32</v>
      </c>
      <c r="W14" s="22" t="s">
        <v>30</v>
      </c>
      <c r="X14" s="22" t="s">
        <v>27</v>
      </c>
      <c r="Y14" s="22" t="s">
        <v>39</v>
      </c>
      <c r="Z14" s="22" t="s">
        <v>1</v>
      </c>
      <c r="AA14" s="22" t="s">
        <v>11</v>
      </c>
      <c r="AB14" s="22" t="s">
        <v>23</v>
      </c>
      <c r="AC14" s="22" t="s">
        <v>25</v>
      </c>
      <c r="AD14" s="22" t="s">
        <v>15</v>
      </c>
      <c r="AE14" s="22" t="s">
        <v>22</v>
      </c>
      <c r="AF14" s="22" t="s">
        <v>3</v>
      </c>
      <c r="AG14" s="22" t="s">
        <v>7</v>
      </c>
      <c r="AH14" s="22" t="s">
        <v>20</v>
      </c>
      <c r="AI14" s="22" t="s">
        <v>31</v>
      </c>
      <c r="AJ14" s="22" t="s">
        <v>16</v>
      </c>
      <c r="AK14" s="22" t="s">
        <v>17</v>
      </c>
      <c r="AL14" s="22" t="s">
        <v>29</v>
      </c>
      <c r="AM14" s="22" t="s">
        <v>34</v>
      </c>
    </row>
    <row r="15" spans="1:39" ht="15.75" customHeight="1">
      <c r="A15" s="2" t="s">
        <v>5</v>
      </c>
      <c r="B15" s="21" t="s">
        <v>3</v>
      </c>
      <c r="C15" s="22" t="s">
        <v>29</v>
      </c>
      <c r="D15" s="22" t="s">
        <v>14</v>
      </c>
      <c r="E15" s="22" t="s">
        <v>30</v>
      </c>
      <c r="F15" s="22" t="s">
        <v>39</v>
      </c>
      <c r="G15" s="22" t="s">
        <v>26</v>
      </c>
      <c r="H15" s="22" t="s">
        <v>19</v>
      </c>
      <c r="I15" s="22" t="s">
        <v>16</v>
      </c>
      <c r="J15" s="22" t="s">
        <v>11</v>
      </c>
      <c r="K15" s="22" t="s">
        <v>32</v>
      </c>
      <c r="L15" s="22" t="s">
        <v>4</v>
      </c>
      <c r="M15" s="22" t="s">
        <v>23</v>
      </c>
      <c r="N15" s="22" t="s">
        <v>18</v>
      </c>
      <c r="O15" s="22" t="s">
        <v>35</v>
      </c>
      <c r="P15" s="22" t="s">
        <v>17</v>
      </c>
      <c r="Q15" s="22" t="s">
        <v>33</v>
      </c>
      <c r="R15" s="22" t="s">
        <v>34</v>
      </c>
      <c r="S15" s="22" t="s">
        <v>8</v>
      </c>
      <c r="T15" s="22" t="s">
        <v>31</v>
      </c>
      <c r="U15" s="22" t="s">
        <v>13</v>
      </c>
      <c r="V15" s="22" t="s">
        <v>36</v>
      </c>
      <c r="W15" s="22" t="s">
        <v>0</v>
      </c>
      <c r="X15" s="22" t="s">
        <v>7</v>
      </c>
      <c r="Y15" s="22" t="s">
        <v>27</v>
      </c>
      <c r="Z15" s="22" t="s">
        <v>10</v>
      </c>
      <c r="AA15" s="22" t="s">
        <v>25</v>
      </c>
      <c r="AB15" s="22" t="s">
        <v>38</v>
      </c>
      <c r="AC15" s="22" t="s">
        <v>20</v>
      </c>
      <c r="AD15" s="22" t="s">
        <v>6</v>
      </c>
      <c r="AE15" s="22" t="s">
        <v>24</v>
      </c>
      <c r="AF15" s="22" t="s">
        <v>9</v>
      </c>
      <c r="AG15" s="22" t="s">
        <v>28</v>
      </c>
      <c r="AH15" s="22" t="s">
        <v>21</v>
      </c>
      <c r="AI15" s="22" t="s">
        <v>12</v>
      </c>
      <c r="AJ15" s="22" t="s">
        <v>37</v>
      </c>
      <c r="AK15" s="22" t="s">
        <v>15</v>
      </c>
      <c r="AL15" s="22" t="s">
        <v>2</v>
      </c>
      <c r="AM15" s="22" t="s">
        <v>1</v>
      </c>
    </row>
    <row r="16" spans="1:39" ht="15.75" customHeight="1">
      <c r="A16" s="2" t="s">
        <v>15</v>
      </c>
      <c r="B16" s="21" t="s">
        <v>7</v>
      </c>
      <c r="C16" s="22" t="s">
        <v>36</v>
      </c>
      <c r="D16" s="22" t="s">
        <v>28</v>
      </c>
      <c r="E16" s="22" t="s">
        <v>16</v>
      </c>
      <c r="F16" s="22" t="s">
        <v>12</v>
      </c>
      <c r="G16" s="22" t="s">
        <v>25</v>
      </c>
      <c r="H16" s="22" t="s">
        <v>27</v>
      </c>
      <c r="I16" s="22" t="s">
        <v>1</v>
      </c>
      <c r="J16" s="22" t="s">
        <v>13</v>
      </c>
      <c r="K16" s="22" t="s">
        <v>20</v>
      </c>
      <c r="L16" s="22" t="s">
        <v>31</v>
      </c>
      <c r="M16" s="22" t="s">
        <v>24</v>
      </c>
      <c r="N16" s="22" t="s">
        <v>2</v>
      </c>
      <c r="O16" s="22" t="s">
        <v>5</v>
      </c>
      <c r="P16" s="22" t="s">
        <v>39</v>
      </c>
      <c r="Q16" s="22" t="s">
        <v>32</v>
      </c>
      <c r="R16" s="22" t="s">
        <v>6</v>
      </c>
      <c r="S16" s="22" t="s">
        <v>37</v>
      </c>
      <c r="T16" s="22" t="s">
        <v>3</v>
      </c>
      <c r="U16" s="22" t="s">
        <v>38</v>
      </c>
      <c r="V16" s="22" t="s">
        <v>11</v>
      </c>
      <c r="W16" s="22" t="s">
        <v>29</v>
      </c>
      <c r="X16" s="22" t="s">
        <v>19</v>
      </c>
      <c r="Y16" s="22" t="s">
        <v>17</v>
      </c>
      <c r="Z16" s="22" t="s">
        <v>21</v>
      </c>
      <c r="AA16" s="22" t="s">
        <v>8</v>
      </c>
      <c r="AB16" s="22" t="s">
        <v>33</v>
      </c>
      <c r="AC16" s="22" t="s">
        <v>34</v>
      </c>
      <c r="AD16" s="22" t="s">
        <v>18</v>
      </c>
      <c r="AE16" s="22" t="s">
        <v>10</v>
      </c>
      <c r="AF16" s="22" t="s">
        <v>4</v>
      </c>
      <c r="AG16" s="22" t="s">
        <v>30</v>
      </c>
      <c r="AH16" s="22" t="s">
        <v>26</v>
      </c>
      <c r="AI16" s="22" t="s">
        <v>14</v>
      </c>
      <c r="AJ16" s="22" t="s">
        <v>0</v>
      </c>
      <c r="AK16" s="22" t="s">
        <v>22</v>
      </c>
      <c r="AL16" s="22" t="s">
        <v>23</v>
      </c>
      <c r="AM16" s="22" t="s">
        <v>9</v>
      </c>
    </row>
    <row r="17" spans="1:39" ht="15.75" customHeight="1">
      <c r="A17" s="2" t="s">
        <v>28</v>
      </c>
      <c r="B17" s="21" t="s">
        <v>6</v>
      </c>
      <c r="C17" s="22" t="s">
        <v>20</v>
      </c>
      <c r="D17" s="22" t="s">
        <v>35</v>
      </c>
      <c r="E17" s="22" t="s">
        <v>8</v>
      </c>
      <c r="F17" s="22" t="s">
        <v>9</v>
      </c>
      <c r="G17" s="22" t="s">
        <v>10</v>
      </c>
      <c r="H17" s="22" t="s">
        <v>18</v>
      </c>
      <c r="I17" s="22" t="s">
        <v>12</v>
      </c>
      <c r="J17" s="22" t="s">
        <v>5</v>
      </c>
      <c r="K17" s="22" t="s">
        <v>16</v>
      </c>
      <c r="L17" s="22" t="s">
        <v>0</v>
      </c>
      <c r="M17" s="22" t="s">
        <v>14</v>
      </c>
      <c r="N17" s="22" t="s">
        <v>19</v>
      </c>
      <c r="O17" s="22" t="s">
        <v>21</v>
      </c>
      <c r="P17" s="22" t="s">
        <v>26</v>
      </c>
      <c r="Q17" s="22" t="s">
        <v>37</v>
      </c>
      <c r="R17" s="22" t="s">
        <v>1</v>
      </c>
      <c r="S17" s="22" t="s">
        <v>30</v>
      </c>
      <c r="T17" s="22" t="s">
        <v>2</v>
      </c>
      <c r="U17" s="22" t="s">
        <v>27</v>
      </c>
      <c r="V17" s="22" t="s">
        <v>15</v>
      </c>
      <c r="W17" s="22" t="s">
        <v>32</v>
      </c>
      <c r="X17" s="22" t="s">
        <v>31</v>
      </c>
      <c r="Y17" s="22" t="s">
        <v>13</v>
      </c>
      <c r="Z17" s="22" t="s">
        <v>34</v>
      </c>
      <c r="AA17" s="22" t="s">
        <v>24</v>
      </c>
      <c r="AB17" s="22" t="s">
        <v>29</v>
      </c>
      <c r="AC17" s="22" t="s">
        <v>39</v>
      </c>
      <c r="AD17" s="22" t="s">
        <v>36</v>
      </c>
      <c r="AE17" s="22" t="s">
        <v>25</v>
      </c>
      <c r="AF17" s="22" t="s">
        <v>38</v>
      </c>
      <c r="AG17" s="22" t="s">
        <v>22</v>
      </c>
      <c r="AH17" s="22" t="s">
        <v>23</v>
      </c>
      <c r="AI17" s="22" t="s">
        <v>4</v>
      </c>
      <c r="AJ17" s="22" t="s">
        <v>7</v>
      </c>
      <c r="AK17" s="22" t="s">
        <v>3</v>
      </c>
      <c r="AL17" s="22" t="s">
        <v>33</v>
      </c>
      <c r="AM17" s="22" t="s">
        <v>17</v>
      </c>
    </row>
    <row r="18" spans="1:39" ht="15.75" customHeight="1">
      <c r="A18" s="2" t="s">
        <v>12</v>
      </c>
      <c r="B18" s="21" t="s">
        <v>27</v>
      </c>
      <c r="C18" s="22" t="s">
        <v>5</v>
      </c>
      <c r="D18" s="22" t="s">
        <v>7</v>
      </c>
      <c r="E18" s="22" t="s">
        <v>10</v>
      </c>
      <c r="F18" s="22" t="s">
        <v>35</v>
      </c>
      <c r="G18" s="22" t="s">
        <v>34</v>
      </c>
      <c r="H18" s="22" t="s">
        <v>17</v>
      </c>
      <c r="I18" s="22" t="s">
        <v>11</v>
      </c>
      <c r="J18" s="22" t="s">
        <v>3</v>
      </c>
      <c r="K18" s="22" t="s">
        <v>25</v>
      </c>
      <c r="L18" s="22" t="s">
        <v>38</v>
      </c>
      <c r="M18" s="22" t="s">
        <v>39</v>
      </c>
      <c r="N18" s="22" t="s">
        <v>1</v>
      </c>
      <c r="O18" s="22" t="s">
        <v>23</v>
      </c>
      <c r="P18" s="22" t="s">
        <v>13</v>
      </c>
      <c r="Q18" s="22" t="s">
        <v>20</v>
      </c>
      <c r="R18" s="22" t="s">
        <v>18</v>
      </c>
      <c r="S18" s="22" t="s">
        <v>36</v>
      </c>
      <c r="T18" s="22" t="s">
        <v>9</v>
      </c>
      <c r="U18" s="22" t="s">
        <v>31</v>
      </c>
      <c r="V18" s="22" t="s">
        <v>26</v>
      </c>
      <c r="W18" s="22" t="s">
        <v>15</v>
      </c>
      <c r="X18" s="22" t="s">
        <v>2</v>
      </c>
      <c r="Y18" s="22" t="s">
        <v>14</v>
      </c>
      <c r="Z18" s="22" t="s">
        <v>32</v>
      </c>
      <c r="AA18" s="22" t="s">
        <v>37</v>
      </c>
      <c r="AB18" s="22" t="s">
        <v>28</v>
      </c>
      <c r="AC18" s="22" t="s">
        <v>33</v>
      </c>
      <c r="AD18" s="22" t="s">
        <v>0</v>
      </c>
      <c r="AE18" s="22" t="s">
        <v>16</v>
      </c>
      <c r="AF18" s="22" t="s">
        <v>19</v>
      </c>
      <c r="AG18" s="22" t="s">
        <v>21</v>
      </c>
      <c r="AH18" s="22" t="s">
        <v>8</v>
      </c>
      <c r="AI18" s="22" t="s">
        <v>22</v>
      </c>
      <c r="AJ18" s="22" t="s">
        <v>30</v>
      </c>
      <c r="AK18" s="22" t="s">
        <v>6</v>
      </c>
      <c r="AL18" s="22" t="s">
        <v>24</v>
      </c>
      <c r="AM18" s="22" t="s">
        <v>4</v>
      </c>
    </row>
    <row r="19" spans="1:39" ht="15.75" customHeight="1">
      <c r="A19" s="2" t="s">
        <v>32</v>
      </c>
      <c r="B19" s="21" t="s">
        <v>31</v>
      </c>
      <c r="C19" s="22" t="s">
        <v>30</v>
      </c>
      <c r="D19" s="22" t="s">
        <v>24</v>
      </c>
      <c r="E19" s="22" t="s">
        <v>37</v>
      </c>
      <c r="F19" s="22" t="s">
        <v>28</v>
      </c>
      <c r="G19" s="22" t="s">
        <v>4</v>
      </c>
      <c r="H19" s="22" t="s">
        <v>34</v>
      </c>
      <c r="I19" s="22" t="s">
        <v>25</v>
      </c>
      <c r="J19" s="22" t="s">
        <v>0</v>
      </c>
      <c r="K19" s="22" t="s">
        <v>22</v>
      </c>
      <c r="L19" s="22" t="s">
        <v>1</v>
      </c>
      <c r="M19" s="22" t="s">
        <v>7</v>
      </c>
      <c r="N19" s="22" t="s">
        <v>8</v>
      </c>
      <c r="O19" s="22" t="s">
        <v>16</v>
      </c>
      <c r="P19" s="22" t="s">
        <v>36</v>
      </c>
      <c r="Q19" s="22" t="s">
        <v>35</v>
      </c>
      <c r="R19" s="22" t="s">
        <v>3</v>
      </c>
      <c r="S19" s="22" t="s">
        <v>6</v>
      </c>
      <c r="T19" s="22" t="s">
        <v>12</v>
      </c>
      <c r="U19" s="22" t="s">
        <v>17</v>
      </c>
      <c r="V19" s="22" t="s">
        <v>18</v>
      </c>
      <c r="W19" s="22" t="s">
        <v>11</v>
      </c>
      <c r="X19" s="22" t="s">
        <v>20</v>
      </c>
      <c r="Y19" s="22" t="s">
        <v>23</v>
      </c>
      <c r="Z19" s="22" t="s">
        <v>29</v>
      </c>
      <c r="AA19" s="22" t="s">
        <v>2</v>
      </c>
      <c r="AB19" s="22" t="s">
        <v>19</v>
      </c>
      <c r="AC19" s="22" t="s">
        <v>27</v>
      </c>
      <c r="AD19" s="22" t="s">
        <v>26</v>
      </c>
      <c r="AE19" s="22" t="s">
        <v>33</v>
      </c>
      <c r="AF19" s="22" t="s">
        <v>5</v>
      </c>
      <c r="AG19" s="22" t="s">
        <v>39</v>
      </c>
      <c r="AH19" s="22" t="s">
        <v>10</v>
      </c>
      <c r="AI19" s="22" t="s">
        <v>13</v>
      </c>
      <c r="AJ19" s="22" t="s">
        <v>14</v>
      </c>
      <c r="AK19" s="22" t="s">
        <v>38</v>
      </c>
      <c r="AL19" s="22" t="s">
        <v>21</v>
      </c>
      <c r="AM19" s="22" t="s">
        <v>15</v>
      </c>
    </row>
    <row r="20" spans="1:39" ht="15.75" customHeight="1">
      <c r="A20" s="2" t="s">
        <v>30</v>
      </c>
      <c r="B20" s="21" t="s">
        <v>17</v>
      </c>
      <c r="C20" s="22" t="s">
        <v>9</v>
      </c>
      <c r="D20" s="22" t="s">
        <v>23</v>
      </c>
      <c r="E20" s="22" t="s">
        <v>22</v>
      </c>
      <c r="F20" s="22" t="s">
        <v>24</v>
      </c>
      <c r="G20" s="22" t="s">
        <v>16</v>
      </c>
      <c r="H20" s="22" t="s">
        <v>10</v>
      </c>
      <c r="I20" s="22" t="s">
        <v>2</v>
      </c>
      <c r="J20" s="22" t="s">
        <v>15</v>
      </c>
      <c r="K20" s="22" t="s">
        <v>14</v>
      </c>
      <c r="L20" s="22" t="s">
        <v>26</v>
      </c>
      <c r="M20" s="22" t="s">
        <v>27</v>
      </c>
      <c r="N20" s="22" t="s">
        <v>0</v>
      </c>
      <c r="O20" s="22" t="s">
        <v>33</v>
      </c>
      <c r="P20" s="22" t="s">
        <v>12</v>
      </c>
      <c r="Q20" s="22" t="s">
        <v>21</v>
      </c>
      <c r="R20" s="22" t="s">
        <v>19</v>
      </c>
      <c r="S20" s="22" t="s">
        <v>11</v>
      </c>
      <c r="T20" s="22" t="s">
        <v>20</v>
      </c>
      <c r="U20" s="22" t="s">
        <v>5</v>
      </c>
      <c r="V20" s="22" t="s">
        <v>6</v>
      </c>
      <c r="W20" s="22" t="s">
        <v>18</v>
      </c>
      <c r="X20" s="22" t="s">
        <v>38</v>
      </c>
      <c r="Y20" s="22" t="s">
        <v>28</v>
      </c>
      <c r="Z20" s="22" t="s">
        <v>4</v>
      </c>
      <c r="AA20" s="22" t="s">
        <v>31</v>
      </c>
      <c r="AB20" s="22" t="s">
        <v>34</v>
      </c>
      <c r="AC20" s="22" t="s">
        <v>7</v>
      </c>
      <c r="AD20" s="22" t="s">
        <v>8</v>
      </c>
      <c r="AE20" s="22" t="s">
        <v>39</v>
      </c>
      <c r="AF20" s="22" t="s">
        <v>36</v>
      </c>
      <c r="AG20" s="22" t="s">
        <v>35</v>
      </c>
      <c r="AH20" s="22" t="s">
        <v>37</v>
      </c>
      <c r="AI20" s="22" t="s">
        <v>32</v>
      </c>
      <c r="AJ20" s="22" t="s">
        <v>29</v>
      </c>
      <c r="AK20" s="22" t="s">
        <v>1</v>
      </c>
      <c r="AL20" s="22" t="s">
        <v>25</v>
      </c>
      <c r="AM20" s="22" t="s">
        <v>3</v>
      </c>
    </row>
    <row r="21" spans="1:39" ht="15.75" customHeight="1" thickBot="1">
      <c r="A21" s="3" t="s">
        <v>1</v>
      </c>
      <c r="B21" s="21" t="s">
        <v>39</v>
      </c>
      <c r="C21" s="22" t="s">
        <v>26</v>
      </c>
      <c r="D21" s="22" t="s">
        <v>19</v>
      </c>
      <c r="E21" s="22" t="s">
        <v>21</v>
      </c>
      <c r="F21" s="22" t="s">
        <v>20</v>
      </c>
      <c r="G21" s="22" t="s">
        <v>37</v>
      </c>
      <c r="H21" s="22" t="s">
        <v>36</v>
      </c>
      <c r="I21" s="22" t="s">
        <v>35</v>
      </c>
      <c r="J21" s="22" t="s">
        <v>2</v>
      </c>
      <c r="K21" s="22" t="s">
        <v>23</v>
      </c>
      <c r="L21" s="22" t="s">
        <v>9</v>
      </c>
      <c r="M21" s="22" t="s">
        <v>10</v>
      </c>
      <c r="N21" s="22" t="s">
        <v>29</v>
      </c>
      <c r="O21" s="22" t="s">
        <v>30</v>
      </c>
      <c r="P21" s="22" t="s">
        <v>27</v>
      </c>
      <c r="Q21" s="22" t="s">
        <v>5</v>
      </c>
      <c r="R21" s="22" t="s">
        <v>11</v>
      </c>
      <c r="S21" s="22" t="s">
        <v>16</v>
      </c>
      <c r="T21" s="22" t="s">
        <v>24</v>
      </c>
      <c r="U21" s="22" t="s">
        <v>3</v>
      </c>
      <c r="V21" s="22" t="s">
        <v>25</v>
      </c>
      <c r="W21" s="22" t="s">
        <v>4</v>
      </c>
      <c r="X21" s="22" t="s">
        <v>17</v>
      </c>
      <c r="Y21" s="22" t="s">
        <v>38</v>
      </c>
      <c r="Z21" s="22" t="s">
        <v>18</v>
      </c>
      <c r="AA21" s="22" t="s">
        <v>14</v>
      </c>
      <c r="AB21" s="22" t="s">
        <v>15</v>
      </c>
      <c r="AC21" s="22" t="s">
        <v>12</v>
      </c>
      <c r="AD21" s="22" t="s">
        <v>31</v>
      </c>
      <c r="AE21" s="22" t="s">
        <v>32</v>
      </c>
      <c r="AF21" s="22" t="s">
        <v>6</v>
      </c>
      <c r="AG21" s="22" t="s">
        <v>34</v>
      </c>
      <c r="AH21" s="22" t="s">
        <v>0</v>
      </c>
      <c r="AI21" s="22" t="s">
        <v>7</v>
      </c>
      <c r="AJ21" s="22" t="s">
        <v>8</v>
      </c>
      <c r="AK21" s="22" t="s">
        <v>13</v>
      </c>
      <c r="AL21" s="22" t="s">
        <v>28</v>
      </c>
      <c r="AM21" s="22" t="s">
        <v>22</v>
      </c>
    </row>
    <row r="22" spans="1:39" ht="15.75" hidden="1" customHeight="1">
      <c r="A22" s="27" t="s">
        <v>40</v>
      </c>
      <c r="B22" s="1"/>
    </row>
    <row r="23" spans="1:39" ht="15.75" customHeight="1">
      <c r="B23" s="1"/>
    </row>
    <row r="24" spans="1:39" ht="15.75" customHeight="1">
      <c r="B24" s="1"/>
    </row>
    <row r="25" spans="1:39" ht="15.75" hidden="1" customHeight="1" outlineLevel="1" thickBot="1">
      <c r="A25" s="23"/>
      <c r="B25" s="24">
        <v>1</v>
      </c>
      <c r="C25" s="25">
        <v>2</v>
      </c>
      <c r="D25" s="25">
        <v>3</v>
      </c>
      <c r="E25" s="25">
        <v>4</v>
      </c>
      <c r="F25" s="25">
        <v>5</v>
      </c>
      <c r="G25" s="25">
        <v>6</v>
      </c>
      <c r="H25" s="25">
        <v>7</v>
      </c>
      <c r="I25" s="25">
        <v>8</v>
      </c>
      <c r="J25" s="25">
        <v>9</v>
      </c>
      <c r="K25" s="25">
        <v>10</v>
      </c>
      <c r="L25" s="25">
        <v>11</v>
      </c>
      <c r="M25" s="25">
        <v>12</v>
      </c>
      <c r="N25" s="25">
        <v>13</v>
      </c>
      <c r="O25" s="25">
        <v>14</v>
      </c>
      <c r="P25" s="25">
        <v>15</v>
      </c>
      <c r="Q25" s="25">
        <v>16</v>
      </c>
      <c r="R25" s="25">
        <v>17</v>
      </c>
      <c r="S25" s="25">
        <v>18</v>
      </c>
      <c r="T25" s="25">
        <v>19</v>
      </c>
      <c r="U25" s="25">
        <v>20</v>
      </c>
      <c r="V25" s="25">
        <v>21</v>
      </c>
      <c r="W25" s="25">
        <v>22</v>
      </c>
      <c r="X25" s="25">
        <v>23</v>
      </c>
      <c r="Y25" s="25">
        <v>24</v>
      </c>
      <c r="Z25" s="25">
        <v>25</v>
      </c>
      <c r="AA25" s="25">
        <v>26</v>
      </c>
      <c r="AB25" s="25">
        <v>27</v>
      </c>
      <c r="AC25" s="25">
        <v>28</v>
      </c>
      <c r="AD25" s="25">
        <v>29</v>
      </c>
      <c r="AE25" s="25">
        <v>30</v>
      </c>
      <c r="AF25" s="25">
        <v>31</v>
      </c>
      <c r="AG25" s="25">
        <v>32</v>
      </c>
      <c r="AH25" s="25">
        <v>33</v>
      </c>
      <c r="AI25" s="25">
        <v>34</v>
      </c>
      <c r="AJ25" s="25">
        <v>35</v>
      </c>
      <c r="AK25" s="25">
        <v>36</v>
      </c>
      <c r="AL25" s="25">
        <v>37</v>
      </c>
      <c r="AM25" s="26">
        <v>38</v>
      </c>
    </row>
    <row r="26" spans="1:39" ht="15.75" hidden="1" customHeight="1" outlineLevel="1">
      <c r="A26" s="4" t="s">
        <v>0</v>
      </c>
      <c r="B26" s="19" t="str">
        <f t="shared" ref="B26:AM26" si="0">VLOOKUP((VLOOKUP($A2,SEEDS,2)&amp;VLOOKUP(B2,SEEDS,2)&amp;(IF(EXACT(B2,UPPER(B2)),"H","A"))),DIFF,2,FALSE)</f>
        <v>B</v>
      </c>
      <c r="C26" s="19" t="str">
        <f t="shared" si="0"/>
        <v>C</v>
      </c>
      <c r="D26" s="19" t="str">
        <f t="shared" si="0"/>
        <v>C</v>
      </c>
      <c r="E26" s="19" t="str">
        <f t="shared" si="0"/>
        <v>B</v>
      </c>
      <c r="F26" s="19" t="str">
        <f t="shared" si="0"/>
        <v>C</v>
      </c>
      <c r="G26" s="19" t="str">
        <f t="shared" si="0"/>
        <v>D</v>
      </c>
      <c r="H26" s="19" t="str">
        <f t="shared" si="0"/>
        <v>B</v>
      </c>
      <c r="I26" s="19" t="str">
        <f t="shared" si="0"/>
        <v>D</v>
      </c>
      <c r="J26" s="19" t="str">
        <f t="shared" si="0"/>
        <v>B</v>
      </c>
      <c r="K26" s="19" t="str">
        <f t="shared" si="0"/>
        <v>C</v>
      </c>
      <c r="L26" s="19" t="str">
        <f t="shared" si="0"/>
        <v>C</v>
      </c>
      <c r="M26" s="19" t="str">
        <f t="shared" si="0"/>
        <v>C</v>
      </c>
      <c r="N26" s="19" t="str">
        <f t="shared" si="0"/>
        <v>C</v>
      </c>
      <c r="O26" s="19" t="str">
        <f t="shared" si="0"/>
        <v>B</v>
      </c>
      <c r="P26" s="19" t="str">
        <f t="shared" si="0"/>
        <v>A</v>
      </c>
      <c r="Q26" s="19" t="str">
        <f t="shared" si="0"/>
        <v>C</v>
      </c>
      <c r="R26" s="19" t="str">
        <f t="shared" si="0"/>
        <v>D</v>
      </c>
      <c r="S26" s="19" t="str">
        <f t="shared" si="0"/>
        <v>C</v>
      </c>
      <c r="T26" s="19" t="str">
        <f t="shared" si="0"/>
        <v>A</v>
      </c>
      <c r="U26" s="19" t="str">
        <f t="shared" si="0"/>
        <v>A</v>
      </c>
      <c r="V26" s="19" t="str">
        <f t="shared" si="0"/>
        <v>C</v>
      </c>
      <c r="W26" s="19" t="str">
        <f t="shared" si="0"/>
        <v>C</v>
      </c>
      <c r="X26" s="19" t="str">
        <f t="shared" si="0"/>
        <v>D</v>
      </c>
      <c r="Y26" s="19" t="str">
        <f t="shared" si="0"/>
        <v>C</v>
      </c>
      <c r="Z26" s="19" t="str">
        <f t="shared" si="0"/>
        <v>B</v>
      </c>
      <c r="AA26" s="19" t="str">
        <f t="shared" si="0"/>
        <v>A</v>
      </c>
      <c r="AB26" s="19" t="str">
        <f t="shared" si="0"/>
        <v>D</v>
      </c>
      <c r="AC26" s="19" t="str">
        <f t="shared" si="0"/>
        <v>C</v>
      </c>
      <c r="AD26" s="19" t="str">
        <f t="shared" si="0"/>
        <v>C</v>
      </c>
      <c r="AE26" s="19" t="str">
        <f t="shared" si="0"/>
        <v>B</v>
      </c>
      <c r="AF26" s="19" t="str">
        <f t="shared" si="0"/>
        <v>C</v>
      </c>
      <c r="AG26" s="19" t="str">
        <f t="shared" si="0"/>
        <v>A</v>
      </c>
      <c r="AH26" s="19" t="str">
        <f t="shared" si="0"/>
        <v>C</v>
      </c>
      <c r="AI26" s="19" t="str">
        <f t="shared" si="0"/>
        <v>B</v>
      </c>
      <c r="AJ26" s="19" t="str">
        <f t="shared" si="0"/>
        <v>B</v>
      </c>
      <c r="AK26" s="19" t="str">
        <f t="shared" si="0"/>
        <v>A</v>
      </c>
      <c r="AL26" s="19" t="str">
        <f t="shared" si="0"/>
        <v>D</v>
      </c>
      <c r="AM26" s="19" t="str">
        <f t="shared" si="0"/>
        <v>B</v>
      </c>
    </row>
    <row r="27" spans="1:39" ht="15.75" hidden="1" customHeight="1" outlineLevel="1">
      <c r="A27" s="2" t="s">
        <v>38</v>
      </c>
      <c r="B27" s="19" t="str">
        <f t="shared" ref="B27:AM27" si="1">VLOOKUP((VLOOKUP($A3,SEEDS,2)&amp;VLOOKUP(B3,SEEDS,2)&amp;(IF(EXACT(B3,UPPER(B3)),"H","A"))),DIFF,2,FALSE)</f>
        <v>C</v>
      </c>
      <c r="C27" s="19" t="str">
        <f t="shared" si="1"/>
        <v>D</v>
      </c>
      <c r="D27" s="19" t="str">
        <f t="shared" si="1"/>
        <v>C</v>
      </c>
      <c r="E27" s="19" t="str">
        <f t="shared" si="1"/>
        <v>B</v>
      </c>
      <c r="F27" s="19" t="str">
        <f t="shared" si="1"/>
        <v>C</v>
      </c>
      <c r="G27" s="19" t="str">
        <f t="shared" si="1"/>
        <v>C</v>
      </c>
      <c r="H27" s="19" t="str">
        <f t="shared" si="1"/>
        <v>D</v>
      </c>
      <c r="I27" s="19" t="str">
        <f t="shared" si="1"/>
        <v>C</v>
      </c>
      <c r="J27" s="19" t="str">
        <f t="shared" si="1"/>
        <v>E</v>
      </c>
      <c r="K27" s="19" t="str">
        <f t="shared" si="1"/>
        <v>C</v>
      </c>
      <c r="L27" s="19" t="str">
        <f t="shared" si="1"/>
        <v>D</v>
      </c>
      <c r="M27" s="19" t="str">
        <f t="shared" si="1"/>
        <v>D</v>
      </c>
      <c r="N27" s="19" t="str">
        <f t="shared" si="1"/>
        <v>D</v>
      </c>
      <c r="O27" s="19" t="str">
        <f t="shared" si="1"/>
        <v>B</v>
      </c>
      <c r="P27" s="19" t="str">
        <f t="shared" si="1"/>
        <v>D</v>
      </c>
      <c r="Q27" s="19" t="str">
        <f t="shared" si="1"/>
        <v>D</v>
      </c>
      <c r="R27" s="19" t="str">
        <f t="shared" si="1"/>
        <v>C</v>
      </c>
      <c r="S27" s="19" t="str">
        <f t="shared" si="1"/>
        <v>C</v>
      </c>
      <c r="T27" s="19" t="str">
        <f t="shared" si="1"/>
        <v>C</v>
      </c>
      <c r="U27" s="19" t="str">
        <f t="shared" si="1"/>
        <v>C</v>
      </c>
      <c r="V27" s="19" t="str">
        <f t="shared" si="1"/>
        <v>C</v>
      </c>
      <c r="W27" s="19" t="str">
        <f t="shared" si="1"/>
        <v>B</v>
      </c>
      <c r="X27" s="19" t="str">
        <f t="shared" si="1"/>
        <v>C</v>
      </c>
      <c r="Y27" s="19" t="str">
        <f t="shared" si="1"/>
        <v>C</v>
      </c>
      <c r="Z27" s="19" t="str">
        <f t="shared" si="1"/>
        <v>B</v>
      </c>
      <c r="AA27" s="19" t="str">
        <f t="shared" si="1"/>
        <v>C</v>
      </c>
      <c r="AB27" s="19" t="str">
        <f t="shared" si="1"/>
        <v>D</v>
      </c>
      <c r="AC27" s="19" t="str">
        <f t="shared" si="1"/>
        <v>C</v>
      </c>
      <c r="AD27" s="19" t="str">
        <f t="shared" si="1"/>
        <v>E</v>
      </c>
      <c r="AE27" s="19" t="str">
        <f t="shared" si="1"/>
        <v>C</v>
      </c>
      <c r="AF27" s="19" t="str">
        <f t="shared" si="1"/>
        <v>D</v>
      </c>
      <c r="AG27" s="19" t="str">
        <f t="shared" si="1"/>
        <v>D</v>
      </c>
      <c r="AH27" s="19" t="str">
        <f t="shared" si="1"/>
        <v>B</v>
      </c>
      <c r="AI27" s="19" t="str">
        <f t="shared" si="1"/>
        <v>E</v>
      </c>
      <c r="AJ27" s="19" t="str">
        <f t="shared" si="1"/>
        <v>C</v>
      </c>
      <c r="AK27" s="19" t="str">
        <f t="shared" si="1"/>
        <v>C</v>
      </c>
      <c r="AL27" s="19" t="str">
        <f t="shared" si="1"/>
        <v>B</v>
      </c>
      <c r="AM27" s="19" t="str">
        <f t="shared" si="1"/>
        <v>E</v>
      </c>
    </row>
    <row r="28" spans="1:39" ht="15.75" hidden="1" customHeight="1" outlineLevel="1">
      <c r="A28" s="2" t="s">
        <v>19</v>
      </c>
      <c r="B28" s="19" t="str">
        <f t="shared" ref="B28:AM28" si="2">VLOOKUP((VLOOKUP($A4,SEEDS,2)&amp;VLOOKUP(B4,SEEDS,2)&amp;(IF(EXACT(B4,UPPER(B4)),"H","A"))),DIFF,2,FALSE)</f>
        <v>C</v>
      </c>
      <c r="C28" s="19" t="str">
        <f t="shared" si="2"/>
        <v>D</v>
      </c>
      <c r="D28" s="19" t="str">
        <f t="shared" si="2"/>
        <v>C</v>
      </c>
      <c r="E28" s="19" t="str">
        <f t="shared" si="2"/>
        <v>B</v>
      </c>
      <c r="F28" s="19" t="str">
        <f t="shared" si="2"/>
        <v>C</v>
      </c>
      <c r="G28" s="19" t="str">
        <f t="shared" si="2"/>
        <v>B</v>
      </c>
      <c r="H28" s="19" t="str">
        <f t="shared" si="2"/>
        <v>D</v>
      </c>
      <c r="I28" s="19" t="str">
        <f t="shared" si="2"/>
        <v>B</v>
      </c>
      <c r="J28" s="19" t="str">
        <f t="shared" si="2"/>
        <v>E</v>
      </c>
      <c r="K28" s="19" t="str">
        <f t="shared" si="2"/>
        <v>C</v>
      </c>
      <c r="L28" s="19" t="str">
        <f t="shared" si="2"/>
        <v>D</v>
      </c>
      <c r="M28" s="19" t="str">
        <f t="shared" si="2"/>
        <v>B</v>
      </c>
      <c r="N28" s="19" t="str">
        <f t="shared" si="2"/>
        <v>D</v>
      </c>
      <c r="O28" s="19" t="str">
        <f t="shared" si="2"/>
        <v>C</v>
      </c>
      <c r="P28" s="19" t="str">
        <f t="shared" si="2"/>
        <v>E</v>
      </c>
      <c r="Q28" s="19" t="str">
        <f t="shared" si="2"/>
        <v>D</v>
      </c>
      <c r="R28" s="19" t="str">
        <f t="shared" si="2"/>
        <v>C</v>
      </c>
      <c r="S28" s="19" t="str">
        <f t="shared" si="2"/>
        <v>C</v>
      </c>
      <c r="T28" s="19" t="str">
        <f t="shared" si="2"/>
        <v>E</v>
      </c>
      <c r="U28" s="19" t="str">
        <f t="shared" si="2"/>
        <v>C</v>
      </c>
      <c r="V28" s="19" t="str">
        <f t="shared" si="2"/>
        <v>C</v>
      </c>
      <c r="W28" s="19" t="str">
        <f t="shared" si="2"/>
        <v>B</v>
      </c>
      <c r="X28" s="19" t="str">
        <f t="shared" si="2"/>
        <v>C</v>
      </c>
      <c r="Y28" s="19" t="str">
        <f t="shared" si="2"/>
        <v>C</v>
      </c>
      <c r="Z28" s="19" t="str">
        <f t="shared" si="2"/>
        <v>D</v>
      </c>
      <c r="AA28" s="19" t="str">
        <f t="shared" si="2"/>
        <v>C</v>
      </c>
      <c r="AB28" s="19" t="str">
        <f t="shared" si="2"/>
        <v>C</v>
      </c>
      <c r="AC28" s="19" t="str">
        <f t="shared" si="2"/>
        <v>C</v>
      </c>
      <c r="AD28" s="19" t="str">
        <f t="shared" si="2"/>
        <v>C</v>
      </c>
      <c r="AE28" s="19" t="str">
        <f t="shared" si="2"/>
        <v>C</v>
      </c>
      <c r="AF28" s="19" t="str">
        <f t="shared" si="2"/>
        <v>D</v>
      </c>
      <c r="AG28" s="19" t="str">
        <f t="shared" si="2"/>
        <v>D</v>
      </c>
      <c r="AH28" s="19" t="str">
        <f t="shared" si="2"/>
        <v>C</v>
      </c>
      <c r="AI28" s="19" t="str">
        <f t="shared" si="2"/>
        <v>C</v>
      </c>
      <c r="AJ28" s="19" t="str">
        <f t="shared" si="2"/>
        <v>D</v>
      </c>
      <c r="AK28" s="19" t="str">
        <f t="shared" si="2"/>
        <v>D</v>
      </c>
      <c r="AL28" s="19" t="str">
        <f t="shared" si="2"/>
        <v>C</v>
      </c>
      <c r="AM28" s="19" t="str">
        <f t="shared" si="2"/>
        <v>E</v>
      </c>
    </row>
    <row r="29" spans="1:39" ht="15.75" hidden="1" customHeight="1" outlineLevel="1">
      <c r="A29" s="2" t="s">
        <v>23</v>
      </c>
      <c r="B29" s="19" t="str">
        <f t="shared" ref="B29:AM29" si="3">VLOOKUP((VLOOKUP($A5,SEEDS,2)&amp;VLOOKUP(B5,SEEDS,2)&amp;(IF(EXACT(B5,UPPER(B5)),"H","A"))),DIFF,2,FALSE)</f>
        <v>C</v>
      </c>
      <c r="C29" s="19" t="str">
        <f t="shared" si="3"/>
        <v>D</v>
      </c>
      <c r="D29" s="19" t="str">
        <f t="shared" si="3"/>
        <v>C</v>
      </c>
      <c r="E29" s="19" t="str">
        <f t="shared" si="3"/>
        <v>B</v>
      </c>
      <c r="F29" s="19" t="str">
        <f t="shared" si="3"/>
        <v>C</v>
      </c>
      <c r="G29" s="19" t="str">
        <f t="shared" si="3"/>
        <v>D</v>
      </c>
      <c r="H29" s="19" t="str">
        <f t="shared" si="3"/>
        <v>B</v>
      </c>
      <c r="I29" s="19" t="str">
        <f t="shared" si="3"/>
        <v>C</v>
      </c>
      <c r="J29" s="19" t="str">
        <f t="shared" si="3"/>
        <v>B</v>
      </c>
      <c r="K29" s="19" t="str">
        <f t="shared" si="3"/>
        <v>C</v>
      </c>
      <c r="L29" s="19" t="str">
        <f t="shared" si="3"/>
        <v>C</v>
      </c>
      <c r="M29" s="19" t="str">
        <f t="shared" si="3"/>
        <v>C</v>
      </c>
      <c r="N29" s="19" t="str">
        <f t="shared" si="3"/>
        <v>A</v>
      </c>
      <c r="O29" s="19" t="str">
        <f t="shared" si="3"/>
        <v>C</v>
      </c>
      <c r="P29" s="19" t="str">
        <f t="shared" si="3"/>
        <v>A</v>
      </c>
      <c r="Q29" s="19" t="str">
        <f t="shared" si="3"/>
        <v>B</v>
      </c>
      <c r="R29" s="19" t="str">
        <f t="shared" si="3"/>
        <v>A</v>
      </c>
      <c r="S29" s="19" t="str">
        <f t="shared" si="3"/>
        <v>A</v>
      </c>
      <c r="T29" s="19" t="str">
        <f t="shared" si="3"/>
        <v>D</v>
      </c>
      <c r="U29" s="19" t="str">
        <f t="shared" si="3"/>
        <v>C</v>
      </c>
      <c r="V29" s="19" t="str">
        <f t="shared" si="3"/>
        <v>B</v>
      </c>
      <c r="W29" s="19" t="str">
        <f t="shared" si="3"/>
        <v>C</v>
      </c>
      <c r="X29" s="19" t="str">
        <f t="shared" si="3"/>
        <v>D</v>
      </c>
      <c r="Y29" s="19" t="str">
        <f t="shared" si="3"/>
        <v>B</v>
      </c>
      <c r="Z29" s="19" t="str">
        <f t="shared" si="3"/>
        <v>D</v>
      </c>
      <c r="AA29" s="19" t="str">
        <f t="shared" si="3"/>
        <v>A</v>
      </c>
      <c r="AB29" s="19" t="str">
        <f t="shared" si="3"/>
        <v>C</v>
      </c>
      <c r="AC29" s="19" t="str">
        <f t="shared" si="3"/>
        <v>B</v>
      </c>
      <c r="AD29" s="19" t="str">
        <f t="shared" si="3"/>
        <v>C</v>
      </c>
      <c r="AE29" s="19" t="str">
        <f t="shared" si="3"/>
        <v>C</v>
      </c>
      <c r="AF29" s="19" t="str">
        <f t="shared" si="3"/>
        <v>B</v>
      </c>
      <c r="AG29" s="19" t="str">
        <f t="shared" si="3"/>
        <v>C</v>
      </c>
      <c r="AH29" s="19" t="str">
        <f t="shared" si="3"/>
        <v>C</v>
      </c>
      <c r="AI29" s="19" t="str">
        <f t="shared" si="3"/>
        <v>D</v>
      </c>
      <c r="AJ29" s="19" t="str">
        <f t="shared" si="3"/>
        <v>B</v>
      </c>
      <c r="AK29" s="19" t="str">
        <f t="shared" si="3"/>
        <v>C</v>
      </c>
      <c r="AL29" s="19" t="str">
        <f t="shared" si="3"/>
        <v>B</v>
      </c>
      <c r="AM29" s="19" t="str">
        <f t="shared" si="3"/>
        <v>A</v>
      </c>
    </row>
    <row r="30" spans="1:39" ht="13.15" hidden="1" outlineLevel="1">
      <c r="A30" s="2" t="s">
        <v>34</v>
      </c>
      <c r="B30" s="19" t="str">
        <f t="shared" ref="B30:AM30" si="4">VLOOKUP((VLOOKUP($A6,SEEDS,2)&amp;VLOOKUP(B6,SEEDS,2)&amp;(IF(EXACT(B6,UPPER(B6)),"H","A"))),DIFF,2,FALSE)</f>
        <v>C</v>
      </c>
      <c r="C30" s="19" t="str">
        <f t="shared" si="4"/>
        <v>D</v>
      </c>
      <c r="D30" s="19" t="str">
        <f t="shared" si="4"/>
        <v>C</v>
      </c>
      <c r="E30" s="19" t="str">
        <f t="shared" si="4"/>
        <v>E</v>
      </c>
      <c r="F30" s="19" t="str">
        <f t="shared" si="4"/>
        <v>D</v>
      </c>
      <c r="G30" s="19" t="str">
        <f t="shared" si="4"/>
        <v>D</v>
      </c>
      <c r="H30" s="19" t="str">
        <f t="shared" si="4"/>
        <v>C</v>
      </c>
      <c r="I30" s="19" t="str">
        <f t="shared" si="4"/>
        <v>C</v>
      </c>
      <c r="J30" s="19" t="str">
        <f t="shared" si="4"/>
        <v>C</v>
      </c>
      <c r="K30" s="19" t="str">
        <f t="shared" si="4"/>
        <v>C</v>
      </c>
      <c r="L30" s="19" t="str">
        <f t="shared" si="4"/>
        <v>D</v>
      </c>
      <c r="M30" s="19" t="str">
        <f t="shared" si="4"/>
        <v>D</v>
      </c>
      <c r="N30" s="19" t="str">
        <f t="shared" si="4"/>
        <v>B</v>
      </c>
      <c r="O30" s="19" t="str">
        <f t="shared" si="4"/>
        <v>B</v>
      </c>
      <c r="P30" s="19" t="str">
        <f t="shared" si="4"/>
        <v>D</v>
      </c>
      <c r="Q30" s="19" t="str">
        <f t="shared" si="4"/>
        <v>C</v>
      </c>
      <c r="R30" s="19" t="str">
        <f t="shared" si="4"/>
        <v>D</v>
      </c>
      <c r="S30" s="19" t="str">
        <f t="shared" si="4"/>
        <v>C</v>
      </c>
      <c r="T30" s="19" t="str">
        <f t="shared" si="4"/>
        <v>C</v>
      </c>
      <c r="U30" s="19" t="str">
        <f t="shared" si="4"/>
        <v>D</v>
      </c>
      <c r="V30" s="19" t="str">
        <f t="shared" si="4"/>
        <v>C</v>
      </c>
      <c r="W30" s="19" t="str">
        <f t="shared" si="4"/>
        <v>E</v>
      </c>
      <c r="X30" s="19" t="str">
        <f t="shared" si="4"/>
        <v>C</v>
      </c>
      <c r="Y30" s="19" t="str">
        <f t="shared" si="4"/>
        <v>B</v>
      </c>
      <c r="Z30" s="19" t="str">
        <f t="shared" si="4"/>
        <v>D</v>
      </c>
      <c r="AA30" s="19" t="str">
        <f t="shared" si="4"/>
        <v>B</v>
      </c>
      <c r="AB30" s="19" t="str">
        <f t="shared" si="4"/>
        <v>C</v>
      </c>
      <c r="AC30" s="19" t="str">
        <f t="shared" si="4"/>
        <v>C</v>
      </c>
      <c r="AD30" s="19" t="str">
        <f t="shared" si="4"/>
        <v>C</v>
      </c>
      <c r="AE30" s="19" t="str">
        <f t="shared" si="4"/>
        <v>E</v>
      </c>
      <c r="AF30" s="19" t="str">
        <f t="shared" si="4"/>
        <v>B</v>
      </c>
      <c r="AG30" s="19" t="str">
        <f t="shared" si="4"/>
        <v>C</v>
      </c>
      <c r="AH30" s="19" t="str">
        <f t="shared" si="4"/>
        <v>B</v>
      </c>
      <c r="AI30" s="19" t="str">
        <f t="shared" si="4"/>
        <v>E</v>
      </c>
      <c r="AJ30" s="19" t="str">
        <f t="shared" si="4"/>
        <v>C</v>
      </c>
      <c r="AK30" s="19" t="str">
        <f t="shared" si="4"/>
        <v>C</v>
      </c>
      <c r="AL30" s="19" t="str">
        <f t="shared" si="4"/>
        <v>C</v>
      </c>
      <c r="AM30" s="19" t="str">
        <f t="shared" si="4"/>
        <v>D</v>
      </c>
    </row>
    <row r="31" spans="1:39" ht="13.15" hidden="1" outlineLevel="1">
      <c r="A31" s="2" t="s">
        <v>10</v>
      </c>
      <c r="B31" s="19" t="str">
        <f t="shared" ref="B31:AM31" si="5">VLOOKUP((VLOOKUP($A7,SEEDS,2)&amp;VLOOKUP(B7,SEEDS,2)&amp;(IF(EXACT(B7,UPPER(B7)),"H","A"))),DIFF,2,FALSE)</f>
        <v>B</v>
      </c>
      <c r="C31" s="19" t="str">
        <f t="shared" si="5"/>
        <v>D</v>
      </c>
      <c r="D31" s="19" t="str">
        <f t="shared" si="5"/>
        <v>D</v>
      </c>
      <c r="E31" s="19" t="str">
        <f t="shared" si="5"/>
        <v>D</v>
      </c>
      <c r="F31" s="19" t="str">
        <f t="shared" si="5"/>
        <v>D</v>
      </c>
      <c r="G31" s="19" t="str">
        <f t="shared" si="5"/>
        <v>D</v>
      </c>
      <c r="H31" s="19" t="str">
        <f t="shared" si="5"/>
        <v>C</v>
      </c>
      <c r="I31" s="19" t="str">
        <f t="shared" si="5"/>
        <v>C</v>
      </c>
      <c r="J31" s="19" t="str">
        <f t="shared" si="5"/>
        <v>D</v>
      </c>
      <c r="K31" s="19" t="str">
        <f t="shared" si="5"/>
        <v>E</v>
      </c>
      <c r="L31" s="19" t="str">
        <f t="shared" si="5"/>
        <v>B</v>
      </c>
      <c r="M31" s="19" t="str">
        <f t="shared" si="5"/>
        <v>C</v>
      </c>
      <c r="N31" s="19" t="str">
        <f t="shared" si="5"/>
        <v>C</v>
      </c>
      <c r="O31" s="19" t="str">
        <f t="shared" si="5"/>
        <v>B</v>
      </c>
      <c r="P31" s="19" t="str">
        <f t="shared" si="5"/>
        <v>C</v>
      </c>
      <c r="Q31" s="19" t="str">
        <f t="shared" si="5"/>
        <v>B</v>
      </c>
      <c r="R31" s="19" t="str">
        <f t="shared" si="5"/>
        <v>B</v>
      </c>
      <c r="S31" s="19" t="str">
        <f t="shared" si="5"/>
        <v>B</v>
      </c>
      <c r="T31" s="19" t="str">
        <f t="shared" si="5"/>
        <v>C</v>
      </c>
      <c r="U31" s="19" t="str">
        <f t="shared" si="5"/>
        <v>C</v>
      </c>
      <c r="V31" s="19" t="str">
        <f t="shared" si="5"/>
        <v>E</v>
      </c>
      <c r="W31" s="19" t="str">
        <f t="shared" si="5"/>
        <v>E</v>
      </c>
      <c r="X31" s="19" t="str">
        <f t="shared" si="5"/>
        <v>C</v>
      </c>
      <c r="Y31" s="19" t="str">
        <f t="shared" si="5"/>
        <v>B</v>
      </c>
      <c r="Z31" s="19" t="str">
        <f t="shared" si="5"/>
        <v>D</v>
      </c>
      <c r="AA31" s="19" t="str">
        <f t="shared" si="5"/>
        <v>C</v>
      </c>
      <c r="AB31" s="19" t="str">
        <f t="shared" si="5"/>
        <v>D</v>
      </c>
      <c r="AC31" s="19" t="str">
        <f t="shared" si="5"/>
        <v>C</v>
      </c>
      <c r="AD31" s="19" t="str">
        <f t="shared" si="5"/>
        <v>C</v>
      </c>
      <c r="AE31" s="19" t="str">
        <f t="shared" si="5"/>
        <v>B</v>
      </c>
      <c r="AF31" s="19" t="str">
        <f t="shared" si="5"/>
        <v>D</v>
      </c>
      <c r="AG31" s="19" t="str">
        <f t="shared" si="5"/>
        <v>E</v>
      </c>
      <c r="AH31" s="19" t="str">
        <f t="shared" si="5"/>
        <v>B</v>
      </c>
      <c r="AI31" s="19" t="str">
        <f t="shared" si="5"/>
        <v>C</v>
      </c>
      <c r="AJ31" s="19" t="str">
        <f t="shared" si="5"/>
        <v>C</v>
      </c>
      <c r="AK31" s="19" t="str">
        <f t="shared" si="5"/>
        <v>B</v>
      </c>
      <c r="AL31" s="19" t="str">
        <f t="shared" si="5"/>
        <v>B</v>
      </c>
      <c r="AM31" s="19" t="str">
        <f t="shared" si="5"/>
        <v>B</v>
      </c>
    </row>
    <row r="32" spans="1:39" ht="13.15" hidden="1" outlineLevel="1">
      <c r="A32" s="2" t="s">
        <v>26</v>
      </c>
      <c r="B32" s="19" t="str">
        <f t="shared" ref="B32:AM32" si="6">VLOOKUP((VLOOKUP($A8,SEEDS,2)&amp;VLOOKUP(B8,SEEDS,2)&amp;(IF(EXACT(B8,UPPER(B8)),"H","A"))),DIFF,2,FALSE)</f>
        <v>B</v>
      </c>
      <c r="C32" s="19" t="str">
        <f t="shared" si="6"/>
        <v>C</v>
      </c>
      <c r="D32" s="19" t="str">
        <f t="shared" si="6"/>
        <v>C</v>
      </c>
      <c r="E32" s="19" t="str">
        <f t="shared" si="6"/>
        <v>C</v>
      </c>
      <c r="F32" s="19" t="str">
        <f t="shared" si="6"/>
        <v>C</v>
      </c>
      <c r="G32" s="19" t="str">
        <f t="shared" si="6"/>
        <v>D</v>
      </c>
      <c r="H32" s="19" t="str">
        <f t="shared" si="6"/>
        <v>D</v>
      </c>
      <c r="I32" s="19" t="str">
        <f t="shared" si="6"/>
        <v>C</v>
      </c>
      <c r="J32" s="19" t="str">
        <f t="shared" si="6"/>
        <v>D</v>
      </c>
      <c r="K32" s="19" t="str">
        <f t="shared" si="6"/>
        <v>C</v>
      </c>
      <c r="L32" s="19" t="str">
        <f t="shared" si="6"/>
        <v>C</v>
      </c>
      <c r="M32" s="19" t="str">
        <f t="shared" si="6"/>
        <v>B</v>
      </c>
      <c r="N32" s="19" t="str">
        <f t="shared" si="6"/>
        <v>C</v>
      </c>
      <c r="O32" s="19" t="str">
        <f t="shared" si="6"/>
        <v>D</v>
      </c>
      <c r="P32" s="19" t="str">
        <f t="shared" si="6"/>
        <v>D</v>
      </c>
      <c r="Q32" s="19" t="str">
        <f t="shared" si="6"/>
        <v>D</v>
      </c>
      <c r="R32" s="19" t="str">
        <f t="shared" si="6"/>
        <v>D</v>
      </c>
      <c r="S32" s="19" t="str">
        <f t="shared" si="6"/>
        <v>D</v>
      </c>
      <c r="T32" s="19" t="str">
        <f t="shared" si="6"/>
        <v>D</v>
      </c>
      <c r="U32" s="19" t="str">
        <f t="shared" si="6"/>
        <v>B</v>
      </c>
      <c r="V32" s="19" t="str">
        <f t="shared" si="6"/>
        <v>D</v>
      </c>
      <c r="W32" s="19" t="str">
        <f t="shared" si="6"/>
        <v>C</v>
      </c>
      <c r="X32" s="19" t="str">
        <f t="shared" si="6"/>
        <v>C</v>
      </c>
      <c r="Y32" s="19" t="str">
        <f t="shared" si="6"/>
        <v>C</v>
      </c>
      <c r="Z32" s="19" t="str">
        <f t="shared" si="6"/>
        <v>E</v>
      </c>
      <c r="AA32" s="19" t="str">
        <f t="shared" si="6"/>
        <v>E</v>
      </c>
      <c r="AB32" s="19" t="str">
        <f t="shared" si="6"/>
        <v>B</v>
      </c>
      <c r="AC32" s="19" t="str">
        <f t="shared" si="6"/>
        <v>C</v>
      </c>
      <c r="AD32" s="19" t="str">
        <f t="shared" si="6"/>
        <v>C</v>
      </c>
      <c r="AE32" s="19" t="str">
        <f t="shared" si="6"/>
        <v>B</v>
      </c>
      <c r="AF32" s="19" t="str">
        <f t="shared" si="6"/>
        <v>C</v>
      </c>
      <c r="AG32" s="19" t="str">
        <f t="shared" si="6"/>
        <v>C</v>
      </c>
      <c r="AH32" s="19" t="str">
        <f t="shared" si="6"/>
        <v>C</v>
      </c>
      <c r="AI32" s="19" t="str">
        <f t="shared" si="6"/>
        <v>C</v>
      </c>
      <c r="AJ32" s="19" t="str">
        <f t="shared" si="6"/>
        <v>C</v>
      </c>
      <c r="AK32" s="19" t="str">
        <f t="shared" si="6"/>
        <v>E</v>
      </c>
      <c r="AL32" s="19" t="str">
        <f t="shared" si="6"/>
        <v>C</v>
      </c>
      <c r="AM32" s="19" t="str">
        <f t="shared" si="6"/>
        <v>E</v>
      </c>
    </row>
    <row r="33" spans="1:39" ht="13.15" hidden="1" outlineLevel="1">
      <c r="A33" s="2" t="s">
        <v>3</v>
      </c>
      <c r="B33" s="19" t="str">
        <f t="shared" ref="B33:AM33" si="7">VLOOKUP((VLOOKUP($A9,SEEDS,2)&amp;VLOOKUP(B9,SEEDS,2)&amp;(IF(EXACT(B9,UPPER(B9)),"H","A"))),DIFF,2,FALSE)</f>
        <v>D</v>
      </c>
      <c r="C33" s="19" t="str">
        <f t="shared" si="7"/>
        <v>B</v>
      </c>
      <c r="D33" s="19" t="str">
        <f t="shared" si="7"/>
        <v>E</v>
      </c>
      <c r="E33" s="19" t="str">
        <f t="shared" si="7"/>
        <v>C</v>
      </c>
      <c r="F33" s="19" t="str">
        <f t="shared" si="7"/>
        <v>E</v>
      </c>
      <c r="G33" s="19" t="str">
        <f t="shared" si="7"/>
        <v>B</v>
      </c>
      <c r="H33" s="19" t="str">
        <f t="shared" si="7"/>
        <v>C</v>
      </c>
      <c r="I33" s="19" t="str">
        <f t="shared" si="7"/>
        <v>D</v>
      </c>
      <c r="J33" s="19" t="str">
        <f t="shared" si="7"/>
        <v>D</v>
      </c>
      <c r="K33" s="19" t="str">
        <f t="shared" si="7"/>
        <v>C</v>
      </c>
      <c r="L33" s="19" t="str">
        <f t="shared" si="7"/>
        <v>E</v>
      </c>
      <c r="M33" s="19" t="str">
        <f t="shared" si="7"/>
        <v>C</v>
      </c>
      <c r="N33" s="19" t="str">
        <f t="shared" si="7"/>
        <v>E</v>
      </c>
      <c r="O33" s="19" t="str">
        <f t="shared" si="7"/>
        <v>C</v>
      </c>
      <c r="P33" s="19" t="str">
        <f t="shared" si="7"/>
        <v>B</v>
      </c>
      <c r="Q33" s="19" t="str">
        <f t="shared" si="7"/>
        <v>C</v>
      </c>
      <c r="R33" s="19" t="str">
        <f t="shared" si="7"/>
        <v>B</v>
      </c>
      <c r="S33" s="19" t="str">
        <f t="shared" si="7"/>
        <v>B</v>
      </c>
      <c r="T33" s="19" t="str">
        <f t="shared" si="7"/>
        <v>B</v>
      </c>
      <c r="U33" s="19" t="str">
        <f t="shared" si="7"/>
        <v>C</v>
      </c>
      <c r="V33" s="19" t="str">
        <f t="shared" si="7"/>
        <v>D</v>
      </c>
      <c r="W33" s="19" t="str">
        <f t="shared" si="7"/>
        <v>D</v>
      </c>
      <c r="X33" s="19" t="str">
        <f t="shared" si="7"/>
        <v>B</v>
      </c>
      <c r="Y33" s="19" t="str">
        <f t="shared" si="7"/>
        <v>B</v>
      </c>
      <c r="Z33" s="19" t="str">
        <f t="shared" si="7"/>
        <v>B</v>
      </c>
      <c r="AA33" s="19" t="str">
        <f t="shared" si="7"/>
        <v>C</v>
      </c>
      <c r="AB33" s="19" t="str">
        <f t="shared" si="7"/>
        <v>C</v>
      </c>
      <c r="AC33" s="19" t="str">
        <f t="shared" si="7"/>
        <v>D</v>
      </c>
      <c r="AD33" s="19" t="str">
        <f t="shared" si="7"/>
        <v>C</v>
      </c>
      <c r="AE33" s="19" t="str">
        <f t="shared" si="7"/>
        <v>D</v>
      </c>
      <c r="AF33" s="19" t="str">
        <f t="shared" si="7"/>
        <v>D</v>
      </c>
      <c r="AG33" s="19" t="str">
        <f t="shared" si="7"/>
        <v>C</v>
      </c>
      <c r="AH33" s="19" t="str">
        <f t="shared" si="7"/>
        <v>C</v>
      </c>
      <c r="AI33" s="19" t="str">
        <f t="shared" si="7"/>
        <v>B</v>
      </c>
      <c r="AJ33" s="19" t="str">
        <f t="shared" si="7"/>
        <v>B</v>
      </c>
      <c r="AK33" s="19" t="str">
        <f t="shared" si="7"/>
        <v>D</v>
      </c>
      <c r="AL33" s="19" t="str">
        <f t="shared" si="7"/>
        <v>B</v>
      </c>
      <c r="AM33" s="19" t="str">
        <f t="shared" si="7"/>
        <v>C</v>
      </c>
    </row>
    <row r="34" spans="1:39" ht="13.15" hidden="1" outlineLevel="1">
      <c r="A34" s="2" t="s">
        <v>17</v>
      </c>
      <c r="B34" s="19" t="str">
        <f t="shared" ref="B34:AM34" si="8">VLOOKUP((VLOOKUP($A10,SEEDS,2)&amp;VLOOKUP(B10,SEEDS,2)&amp;(IF(EXACT(B10,UPPER(B10)),"H","A"))),DIFF,2,FALSE)</f>
        <v>C</v>
      </c>
      <c r="C34" s="19" t="str">
        <f t="shared" si="8"/>
        <v>D</v>
      </c>
      <c r="D34" s="19" t="str">
        <f t="shared" si="8"/>
        <v>C</v>
      </c>
      <c r="E34" s="19" t="str">
        <f t="shared" si="8"/>
        <v>A</v>
      </c>
      <c r="F34" s="19" t="str">
        <f t="shared" si="8"/>
        <v>C</v>
      </c>
      <c r="G34" s="19" t="str">
        <f t="shared" si="8"/>
        <v>B</v>
      </c>
      <c r="H34" s="19" t="str">
        <f t="shared" si="8"/>
        <v>C</v>
      </c>
      <c r="I34" s="19" t="str">
        <f t="shared" si="8"/>
        <v>A</v>
      </c>
      <c r="J34" s="19" t="str">
        <f t="shared" si="8"/>
        <v>A</v>
      </c>
      <c r="K34" s="19" t="str">
        <f t="shared" si="8"/>
        <v>D</v>
      </c>
      <c r="L34" s="19" t="str">
        <f t="shared" si="8"/>
        <v>A</v>
      </c>
      <c r="M34" s="19" t="str">
        <f t="shared" si="8"/>
        <v>C</v>
      </c>
      <c r="N34" s="19" t="str">
        <f t="shared" si="8"/>
        <v>C</v>
      </c>
      <c r="O34" s="19" t="str">
        <f t="shared" si="8"/>
        <v>C</v>
      </c>
      <c r="P34" s="19" t="str">
        <f t="shared" si="8"/>
        <v>C</v>
      </c>
      <c r="Q34" s="19" t="str">
        <f>VLOOKUP((VLOOKUP($A10,SEEDS,2)&amp;VLOOKUP(Q10,SEEDS,2)&amp;(IF(EXACT(Q10,UPPER(Q10)),"H","A"))),DIFF,2,FALSE)</f>
        <v>C</v>
      </c>
      <c r="R34" s="19" t="str">
        <f t="shared" si="8"/>
        <v>D</v>
      </c>
      <c r="S34" s="19" t="str">
        <f t="shared" si="8"/>
        <v>A</v>
      </c>
      <c r="T34" s="19" t="str">
        <f t="shared" si="8"/>
        <v>B</v>
      </c>
      <c r="U34" s="19" t="str">
        <f t="shared" si="8"/>
        <v>B</v>
      </c>
      <c r="V34" s="19" t="str">
        <f t="shared" si="8"/>
        <v>C</v>
      </c>
      <c r="W34" s="19" t="str">
        <f t="shared" si="8"/>
        <v>B</v>
      </c>
      <c r="X34" s="19" t="str">
        <f t="shared" si="8"/>
        <v>C</v>
      </c>
      <c r="Y34" s="19" t="str">
        <f t="shared" si="8"/>
        <v>B</v>
      </c>
      <c r="Z34" s="19" t="str">
        <f t="shared" si="8"/>
        <v>A</v>
      </c>
      <c r="AA34" s="19" t="str">
        <f t="shared" si="8"/>
        <v>C</v>
      </c>
      <c r="AB34" s="19" t="str">
        <f t="shared" si="8"/>
        <v>B</v>
      </c>
      <c r="AC34" s="19" t="str">
        <f t="shared" si="8"/>
        <v>C</v>
      </c>
      <c r="AD34" s="19" t="str">
        <f t="shared" si="8"/>
        <v>B</v>
      </c>
      <c r="AE34" s="19" t="str">
        <f t="shared" si="8"/>
        <v>B</v>
      </c>
      <c r="AF34" s="19" t="str">
        <f t="shared" si="8"/>
        <v>D</v>
      </c>
      <c r="AG34" s="19" t="str">
        <f t="shared" si="8"/>
        <v>B</v>
      </c>
      <c r="AH34" s="19" t="str">
        <f t="shared" si="8"/>
        <v>B</v>
      </c>
      <c r="AI34" s="19" t="str">
        <f t="shared" si="8"/>
        <v>D</v>
      </c>
      <c r="AJ34" s="19" t="str">
        <f t="shared" si="8"/>
        <v>C</v>
      </c>
      <c r="AK34" s="19" t="str">
        <f t="shared" si="8"/>
        <v>C</v>
      </c>
      <c r="AL34" s="19" t="str">
        <f t="shared" si="8"/>
        <v>D</v>
      </c>
      <c r="AM34" s="19" t="str">
        <f t="shared" si="8"/>
        <v>C</v>
      </c>
    </row>
    <row r="35" spans="1:39" ht="13.15" hidden="1" outlineLevel="1">
      <c r="A35" s="2" t="s">
        <v>8</v>
      </c>
      <c r="B35" s="19" t="str">
        <f t="shared" ref="B35:AM35" si="9">VLOOKUP((VLOOKUP($A11,SEEDS,2)&amp;VLOOKUP(B11,SEEDS,2)&amp;(IF(EXACT(B11,UPPER(B11)),"H","A"))),DIFF,2,FALSE)</f>
        <v>C</v>
      </c>
      <c r="C35" s="19" t="str">
        <f t="shared" si="9"/>
        <v>C</v>
      </c>
      <c r="D35" s="19" t="str">
        <f t="shared" si="9"/>
        <v>A</v>
      </c>
      <c r="E35" s="19" t="str">
        <f t="shared" si="9"/>
        <v>C</v>
      </c>
      <c r="F35" s="19" t="str">
        <f t="shared" si="9"/>
        <v>C</v>
      </c>
      <c r="G35" s="19" t="str">
        <f t="shared" si="9"/>
        <v>C</v>
      </c>
      <c r="H35" s="19" t="str">
        <f t="shared" si="9"/>
        <v>A</v>
      </c>
      <c r="I35" s="19" t="str">
        <f t="shared" si="9"/>
        <v>D</v>
      </c>
      <c r="J35" s="19" t="str">
        <f t="shared" si="9"/>
        <v>C</v>
      </c>
      <c r="K35" s="19" t="str">
        <f t="shared" si="9"/>
        <v>D</v>
      </c>
      <c r="L35" s="19" t="str">
        <f t="shared" si="9"/>
        <v>C</v>
      </c>
      <c r="M35" s="19" t="str">
        <f t="shared" si="9"/>
        <v>B</v>
      </c>
      <c r="N35" s="19" t="str">
        <f t="shared" si="9"/>
        <v>B</v>
      </c>
      <c r="O35" s="19" t="str">
        <f t="shared" si="9"/>
        <v>B</v>
      </c>
      <c r="P35" s="19" t="str">
        <f t="shared" si="9"/>
        <v>B</v>
      </c>
      <c r="Q35" s="19" t="str">
        <f t="shared" si="9"/>
        <v>B</v>
      </c>
      <c r="R35" s="19" t="str">
        <f t="shared" si="9"/>
        <v>A</v>
      </c>
      <c r="S35" s="19" t="str">
        <f t="shared" si="9"/>
        <v>C</v>
      </c>
      <c r="T35" s="19" t="str">
        <f t="shared" si="9"/>
        <v>D</v>
      </c>
      <c r="U35" s="19" t="str">
        <f t="shared" si="9"/>
        <v>C</v>
      </c>
      <c r="V35" s="19" t="str">
        <f t="shared" si="9"/>
        <v>B</v>
      </c>
      <c r="W35" s="19" t="str">
        <f t="shared" si="9"/>
        <v>C</v>
      </c>
      <c r="X35" s="19" t="str">
        <f t="shared" si="9"/>
        <v>C</v>
      </c>
      <c r="Y35" s="19" t="str">
        <f t="shared" si="9"/>
        <v>C</v>
      </c>
      <c r="Z35" s="19" t="str">
        <f t="shared" si="9"/>
        <v>D</v>
      </c>
      <c r="AA35" s="19" t="str">
        <f t="shared" si="9"/>
        <v>B</v>
      </c>
      <c r="AB35" s="19" t="str">
        <f t="shared" si="9"/>
        <v>D</v>
      </c>
      <c r="AC35" s="19" t="str">
        <f t="shared" si="9"/>
        <v>A</v>
      </c>
      <c r="AD35" s="19" t="str">
        <f t="shared" si="9"/>
        <v>C</v>
      </c>
      <c r="AE35" s="19" t="str">
        <f t="shared" si="9"/>
        <v>B</v>
      </c>
      <c r="AF35" s="19" t="str">
        <f t="shared" si="9"/>
        <v>D</v>
      </c>
      <c r="AG35" s="19" t="str">
        <f t="shared" si="9"/>
        <v>C</v>
      </c>
      <c r="AH35" s="19" t="str">
        <f t="shared" si="9"/>
        <v>C</v>
      </c>
      <c r="AI35" s="19" t="str">
        <f t="shared" si="9"/>
        <v>B</v>
      </c>
      <c r="AJ35" s="19" t="str">
        <f t="shared" si="9"/>
        <v>C</v>
      </c>
      <c r="AK35" s="19" t="str">
        <f t="shared" si="9"/>
        <v>A</v>
      </c>
      <c r="AL35" s="19" t="str">
        <f t="shared" si="9"/>
        <v>B</v>
      </c>
      <c r="AM35" s="19" t="str">
        <f t="shared" si="9"/>
        <v>A</v>
      </c>
    </row>
    <row r="36" spans="1:39" ht="13.15" hidden="1" outlineLevel="1">
      <c r="A36" s="2" t="s">
        <v>20</v>
      </c>
      <c r="B36" s="19" t="str">
        <f t="shared" ref="B36:AM36" si="10">VLOOKUP((VLOOKUP($A12,SEEDS,2)&amp;VLOOKUP(B12,SEEDS,2)&amp;(IF(EXACT(B12,UPPER(B12)),"H","A"))),DIFF,2,FALSE)</f>
        <v>C</v>
      </c>
      <c r="C36" s="19" t="str">
        <f t="shared" si="10"/>
        <v>D</v>
      </c>
      <c r="D36" s="19" t="str">
        <f t="shared" si="10"/>
        <v>E</v>
      </c>
      <c r="E36" s="19" t="str">
        <f t="shared" si="10"/>
        <v>D</v>
      </c>
      <c r="F36" s="19" t="str">
        <f t="shared" si="10"/>
        <v>C</v>
      </c>
      <c r="G36" s="19" t="str">
        <f t="shared" si="10"/>
        <v>B</v>
      </c>
      <c r="H36" s="19" t="str">
        <f t="shared" si="10"/>
        <v>D</v>
      </c>
      <c r="I36" s="19" t="str">
        <f t="shared" si="10"/>
        <v>E</v>
      </c>
      <c r="J36" s="19" t="str">
        <f t="shared" si="10"/>
        <v>B</v>
      </c>
      <c r="K36" s="19" t="str">
        <f t="shared" si="10"/>
        <v>C</v>
      </c>
      <c r="L36" s="19" t="str">
        <f t="shared" si="10"/>
        <v>C</v>
      </c>
      <c r="M36" s="19" t="str">
        <f t="shared" si="10"/>
        <v>C</v>
      </c>
      <c r="N36" s="19" t="str">
        <f t="shared" si="10"/>
        <v>B</v>
      </c>
      <c r="O36" s="19" t="str">
        <f t="shared" si="10"/>
        <v>C</v>
      </c>
      <c r="P36" s="19" t="str">
        <f t="shared" si="10"/>
        <v>C</v>
      </c>
      <c r="Q36" s="19" t="str">
        <f t="shared" si="10"/>
        <v>D</v>
      </c>
      <c r="R36" s="19" t="str">
        <f t="shared" si="10"/>
        <v>C</v>
      </c>
      <c r="S36" s="19" t="str">
        <f t="shared" si="10"/>
        <v>C</v>
      </c>
      <c r="T36" s="19" t="str">
        <f t="shared" si="10"/>
        <v>C</v>
      </c>
      <c r="U36" s="19" t="str">
        <f t="shared" si="10"/>
        <v>E</v>
      </c>
      <c r="V36" s="19" t="str">
        <f t="shared" si="10"/>
        <v>D</v>
      </c>
      <c r="W36" s="19" t="str">
        <f t="shared" si="10"/>
        <v>C</v>
      </c>
      <c r="X36" s="19" t="str">
        <f t="shared" si="10"/>
        <v>C</v>
      </c>
      <c r="Y36" s="19" t="str">
        <f t="shared" si="10"/>
        <v>D</v>
      </c>
      <c r="Z36" s="19" t="str">
        <f t="shared" si="10"/>
        <v>C</v>
      </c>
      <c r="AA36" s="19" t="str">
        <f t="shared" si="10"/>
        <v>E</v>
      </c>
      <c r="AB36" s="19" t="str">
        <f t="shared" si="10"/>
        <v>D</v>
      </c>
      <c r="AC36" s="19" t="str">
        <f t="shared" si="10"/>
        <v>D</v>
      </c>
      <c r="AD36" s="19" t="str">
        <f t="shared" si="10"/>
        <v>B</v>
      </c>
      <c r="AE36" s="19" t="str">
        <f t="shared" si="10"/>
        <v>C</v>
      </c>
      <c r="AF36" s="19" t="str">
        <f t="shared" si="10"/>
        <v>B</v>
      </c>
      <c r="AG36" s="19" t="str">
        <f t="shared" si="10"/>
        <v>C</v>
      </c>
      <c r="AH36" s="19" t="str">
        <f t="shared" si="10"/>
        <v>D</v>
      </c>
      <c r="AI36" s="19" t="str">
        <f t="shared" si="10"/>
        <v>C</v>
      </c>
      <c r="AJ36" s="19" t="str">
        <f t="shared" si="10"/>
        <v>D</v>
      </c>
      <c r="AK36" s="19" t="str">
        <f t="shared" si="10"/>
        <v>C</v>
      </c>
      <c r="AL36" s="19" t="str">
        <f t="shared" si="10"/>
        <v>C</v>
      </c>
      <c r="AM36" s="19" t="str">
        <f t="shared" si="10"/>
        <v>C</v>
      </c>
    </row>
    <row r="37" spans="1:39" ht="13.15" hidden="1" outlineLevel="1">
      <c r="A37" s="2" t="s">
        <v>36</v>
      </c>
      <c r="B37" s="19" t="str">
        <f t="shared" ref="B37:AM37" si="11">VLOOKUP((VLOOKUP($A13,SEEDS,2)&amp;VLOOKUP(B13,SEEDS,2)&amp;(IF(EXACT(B13,UPPER(B13)),"H","A"))),DIFF,2,FALSE)</f>
        <v>C</v>
      </c>
      <c r="C37" s="19" t="str">
        <f t="shared" si="11"/>
        <v>C</v>
      </c>
      <c r="D37" s="19" t="str">
        <f t="shared" si="11"/>
        <v>C</v>
      </c>
      <c r="E37" s="19" t="str">
        <f t="shared" si="11"/>
        <v>D</v>
      </c>
      <c r="F37" s="19" t="str">
        <f t="shared" si="11"/>
        <v>B</v>
      </c>
      <c r="G37" s="19" t="str">
        <f t="shared" si="11"/>
        <v>D</v>
      </c>
      <c r="H37" s="19" t="str">
        <f t="shared" si="11"/>
        <v>C</v>
      </c>
      <c r="I37" s="19" t="str">
        <f t="shared" si="11"/>
        <v>B</v>
      </c>
      <c r="J37" s="19" t="str">
        <f t="shared" si="11"/>
        <v>C</v>
      </c>
      <c r="K37" s="19" t="str">
        <f t="shared" si="11"/>
        <v>C</v>
      </c>
      <c r="L37" s="19" t="str">
        <f t="shared" si="11"/>
        <v>E</v>
      </c>
      <c r="M37" s="19" t="str">
        <f t="shared" si="11"/>
        <v>C</v>
      </c>
      <c r="N37" s="19" t="str">
        <f t="shared" si="11"/>
        <v>E</v>
      </c>
      <c r="O37" s="19" t="str">
        <f t="shared" si="11"/>
        <v>D</v>
      </c>
      <c r="P37" s="19" t="str">
        <f t="shared" si="11"/>
        <v>C</v>
      </c>
      <c r="Q37" s="19" t="str">
        <f t="shared" si="11"/>
        <v>C</v>
      </c>
      <c r="R37" s="19" t="str">
        <f t="shared" si="11"/>
        <v>E</v>
      </c>
      <c r="S37" s="19" t="str">
        <f t="shared" si="11"/>
        <v>D</v>
      </c>
      <c r="T37" s="19" t="str">
        <f t="shared" si="11"/>
        <v>C</v>
      </c>
      <c r="U37" s="19" t="str">
        <f t="shared" si="11"/>
        <v>C</v>
      </c>
      <c r="V37" s="19" t="str">
        <f t="shared" si="11"/>
        <v>D</v>
      </c>
      <c r="W37" s="19" t="str">
        <f t="shared" si="11"/>
        <v>C</v>
      </c>
      <c r="X37" s="19" t="str">
        <f t="shared" si="11"/>
        <v>C</v>
      </c>
      <c r="Y37" s="19" t="str">
        <f t="shared" si="11"/>
        <v>C</v>
      </c>
      <c r="Z37" s="19" t="str">
        <f t="shared" si="11"/>
        <v>C</v>
      </c>
      <c r="AA37" s="19" t="str">
        <f t="shared" si="11"/>
        <v>C</v>
      </c>
      <c r="AB37" s="19" t="str">
        <f t="shared" si="11"/>
        <v>C</v>
      </c>
      <c r="AC37" s="19" t="str">
        <f t="shared" si="11"/>
        <v>D</v>
      </c>
      <c r="AD37" s="19" t="str">
        <f t="shared" si="11"/>
        <v>D</v>
      </c>
      <c r="AE37" s="19" t="str">
        <f t="shared" si="11"/>
        <v>D</v>
      </c>
      <c r="AF37" s="19" t="str">
        <f t="shared" si="11"/>
        <v>C</v>
      </c>
      <c r="AG37" s="19" t="str">
        <f t="shared" si="11"/>
        <v>B</v>
      </c>
      <c r="AH37" s="19" t="str">
        <f t="shared" si="11"/>
        <v>C</v>
      </c>
      <c r="AI37" s="19" t="str">
        <f t="shared" si="11"/>
        <v>B</v>
      </c>
      <c r="AJ37" s="19" t="str">
        <f t="shared" si="11"/>
        <v>B</v>
      </c>
      <c r="AK37" s="19" t="str">
        <f t="shared" si="11"/>
        <v>E</v>
      </c>
      <c r="AL37" s="19" t="str">
        <f t="shared" si="11"/>
        <v>D</v>
      </c>
      <c r="AM37" s="19" t="str">
        <f t="shared" si="11"/>
        <v>D</v>
      </c>
    </row>
    <row r="38" spans="1:39" ht="13.15" hidden="1" outlineLevel="1">
      <c r="A38" s="2" t="s">
        <v>24</v>
      </c>
      <c r="B38" s="19" t="str">
        <f t="shared" ref="B38:AM38" si="12">VLOOKUP((VLOOKUP($A14,SEEDS,2)&amp;VLOOKUP(B14,SEEDS,2)&amp;(IF(EXACT(B14,UPPER(B14)),"H","A"))),DIFF,2,FALSE)</f>
        <v>B</v>
      </c>
      <c r="C38" s="19" t="str">
        <f t="shared" si="12"/>
        <v>C</v>
      </c>
      <c r="D38" s="19" t="str">
        <f t="shared" si="12"/>
        <v>B</v>
      </c>
      <c r="E38" s="19" t="str">
        <f t="shared" si="12"/>
        <v>B</v>
      </c>
      <c r="F38" s="19" t="str">
        <f t="shared" si="12"/>
        <v>C</v>
      </c>
      <c r="G38" s="19" t="str">
        <f t="shared" si="12"/>
        <v>D</v>
      </c>
      <c r="H38" s="19" t="str">
        <f t="shared" si="12"/>
        <v>C</v>
      </c>
      <c r="I38" s="19" t="str">
        <f t="shared" si="12"/>
        <v>E</v>
      </c>
      <c r="J38" s="19" t="str">
        <f t="shared" si="12"/>
        <v>B</v>
      </c>
      <c r="K38" s="19" t="str">
        <f t="shared" si="12"/>
        <v>D</v>
      </c>
      <c r="L38" s="19" t="str">
        <f t="shared" si="12"/>
        <v>B</v>
      </c>
      <c r="M38" s="19" t="str">
        <f t="shared" si="12"/>
        <v>B</v>
      </c>
      <c r="N38" s="19" t="str">
        <f t="shared" si="12"/>
        <v>C</v>
      </c>
      <c r="O38" s="19" t="str">
        <f t="shared" si="12"/>
        <v>E</v>
      </c>
      <c r="P38" s="19" t="str">
        <f t="shared" si="12"/>
        <v>C</v>
      </c>
      <c r="Q38" s="19" t="str">
        <f t="shared" si="12"/>
        <v>C</v>
      </c>
      <c r="R38" s="19" t="str">
        <f t="shared" si="12"/>
        <v>C</v>
      </c>
      <c r="S38" s="19" t="str">
        <f t="shared" si="12"/>
        <v>D</v>
      </c>
      <c r="T38" s="19" t="str">
        <f t="shared" si="12"/>
        <v>C</v>
      </c>
      <c r="U38" s="19" t="str">
        <f t="shared" si="12"/>
        <v>B</v>
      </c>
      <c r="V38" s="19" t="str">
        <f t="shared" si="12"/>
        <v>B</v>
      </c>
      <c r="W38" s="19" t="str">
        <f t="shared" si="12"/>
        <v>C</v>
      </c>
      <c r="X38" s="19" t="str">
        <f t="shared" si="12"/>
        <v>E</v>
      </c>
      <c r="Y38" s="19" t="str">
        <f t="shared" si="12"/>
        <v>E</v>
      </c>
      <c r="Z38" s="19" t="str">
        <f t="shared" si="12"/>
        <v>C</v>
      </c>
      <c r="AA38" s="19" t="str">
        <f t="shared" si="12"/>
        <v>D</v>
      </c>
      <c r="AB38" s="19" t="str">
        <f t="shared" si="12"/>
        <v>D</v>
      </c>
      <c r="AC38" s="19" t="str">
        <f t="shared" si="12"/>
        <v>B</v>
      </c>
      <c r="AD38" s="19" t="str">
        <f t="shared" si="12"/>
        <v>B</v>
      </c>
      <c r="AE38" s="19" t="str">
        <f t="shared" si="12"/>
        <v>D</v>
      </c>
      <c r="AF38" s="19" t="str">
        <f t="shared" si="12"/>
        <v>C</v>
      </c>
      <c r="AG38" s="19" t="str">
        <f t="shared" si="12"/>
        <v>B</v>
      </c>
      <c r="AH38" s="19" t="str">
        <f t="shared" si="12"/>
        <v>B</v>
      </c>
      <c r="AI38" s="19" t="str">
        <f t="shared" si="12"/>
        <v>D</v>
      </c>
      <c r="AJ38" s="19" t="str">
        <f t="shared" si="12"/>
        <v>C</v>
      </c>
      <c r="AK38" s="19" t="str">
        <f t="shared" si="12"/>
        <v>D</v>
      </c>
      <c r="AL38" s="19" t="str">
        <f t="shared" si="12"/>
        <v>D</v>
      </c>
      <c r="AM38" s="19" t="str">
        <f t="shared" si="12"/>
        <v>C</v>
      </c>
    </row>
    <row r="39" spans="1:39" ht="13.15" hidden="1" outlineLevel="1">
      <c r="A39" s="2" t="s">
        <v>5</v>
      </c>
      <c r="B39" s="19" t="str">
        <f t="shared" ref="B39:AM39" si="13">VLOOKUP((VLOOKUP($A15,SEEDS,2)&amp;VLOOKUP(B15,SEEDS,2)&amp;(IF(EXACT(B15,UPPER(B15)),"H","A"))),DIFF,2,FALSE)</f>
        <v>C</v>
      </c>
      <c r="C39" s="19" t="str">
        <f t="shared" si="13"/>
        <v>D</v>
      </c>
      <c r="D39" s="19" t="str">
        <f t="shared" si="13"/>
        <v>B</v>
      </c>
      <c r="E39" s="19" t="str">
        <f t="shared" si="13"/>
        <v>C</v>
      </c>
      <c r="F39" s="19" t="str">
        <f t="shared" si="13"/>
        <v>E</v>
      </c>
      <c r="G39" s="19" t="str">
        <f t="shared" si="13"/>
        <v>B</v>
      </c>
      <c r="H39" s="19" t="str">
        <f t="shared" si="13"/>
        <v>B</v>
      </c>
      <c r="I39" s="19" t="str">
        <f t="shared" si="13"/>
        <v>C</v>
      </c>
      <c r="J39" s="19" t="str">
        <f t="shared" si="13"/>
        <v>D</v>
      </c>
      <c r="K39" s="19" t="str">
        <f t="shared" si="13"/>
        <v>B</v>
      </c>
      <c r="L39" s="19" t="str">
        <f t="shared" si="13"/>
        <v>B</v>
      </c>
      <c r="M39" s="19" t="str">
        <f t="shared" si="13"/>
        <v>D</v>
      </c>
      <c r="N39" s="19" t="str">
        <f t="shared" si="13"/>
        <v>D</v>
      </c>
      <c r="O39" s="19" t="str">
        <f t="shared" si="13"/>
        <v>B</v>
      </c>
      <c r="P39" s="19" t="str">
        <f t="shared" si="13"/>
        <v>D</v>
      </c>
      <c r="Q39" s="19" t="str">
        <f t="shared" si="13"/>
        <v>C</v>
      </c>
      <c r="R39" s="19" t="str">
        <f t="shared" si="13"/>
        <v>C</v>
      </c>
      <c r="S39" s="19" t="str">
        <f t="shared" si="13"/>
        <v>D</v>
      </c>
      <c r="T39" s="19" t="str">
        <f t="shared" si="13"/>
        <v>D</v>
      </c>
      <c r="U39" s="19" t="str">
        <f t="shared" si="13"/>
        <v>C</v>
      </c>
      <c r="V39" s="19" t="str">
        <f t="shared" si="13"/>
        <v>B</v>
      </c>
      <c r="W39" s="19" t="str">
        <f t="shared" si="13"/>
        <v>D</v>
      </c>
      <c r="X39" s="19" t="str">
        <f t="shared" si="13"/>
        <v>B</v>
      </c>
      <c r="Y39" s="19" t="str">
        <f t="shared" si="13"/>
        <v>E</v>
      </c>
      <c r="Z39" s="19" t="str">
        <f t="shared" si="13"/>
        <v>C</v>
      </c>
      <c r="AA39" s="19" t="str">
        <f t="shared" si="13"/>
        <v>B</v>
      </c>
      <c r="AB39" s="19" t="str">
        <f t="shared" si="13"/>
        <v>C</v>
      </c>
      <c r="AC39" s="19" t="str">
        <f t="shared" si="13"/>
        <v>B</v>
      </c>
      <c r="AD39" s="19" t="str">
        <f t="shared" si="13"/>
        <v>E</v>
      </c>
      <c r="AE39" s="19" t="str">
        <f t="shared" si="13"/>
        <v>C</v>
      </c>
      <c r="AF39" s="19" t="str">
        <f t="shared" si="13"/>
        <v>B</v>
      </c>
      <c r="AG39" s="19" t="str">
        <f t="shared" si="13"/>
        <v>C</v>
      </c>
      <c r="AH39" s="19" t="str">
        <f t="shared" si="13"/>
        <v>D</v>
      </c>
      <c r="AI39" s="19" t="str">
        <f t="shared" si="13"/>
        <v>C</v>
      </c>
      <c r="AJ39" s="19" t="str">
        <f t="shared" si="13"/>
        <v>E</v>
      </c>
      <c r="AK39" s="19" t="str">
        <f t="shared" si="13"/>
        <v>B</v>
      </c>
      <c r="AL39" s="19" t="str">
        <f t="shared" si="13"/>
        <v>C</v>
      </c>
      <c r="AM39" s="19" t="str">
        <f t="shared" si="13"/>
        <v>C</v>
      </c>
    </row>
    <row r="40" spans="1:39" ht="13.15" hidden="1" outlineLevel="1">
      <c r="A40" s="2" t="s">
        <v>15</v>
      </c>
      <c r="B40" s="19" t="str">
        <f t="shared" ref="B40:AM40" si="14">VLOOKUP((VLOOKUP($A16,SEEDS,2)&amp;VLOOKUP(B16,SEEDS,2)&amp;(IF(EXACT(B16,UPPER(B16)),"H","A"))),DIFF,2,FALSE)</f>
        <v>C</v>
      </c>
      <c r="C40" s="19" t="str">
        <f t="shared" si="14"/>
        <v>B</v>
      </c>
      <c r="D40" s="19" t="str">
        <f t="shared" si="14"/>
        <v>C</v>
      </c>
      <c r="E40" s="19" t="str">
        <f t="shared" si="14"/>
        <v>C</v>
      </c>
      <c r="F40" s="19" t="str">
        <f t="shared" si="14"/>
        <v>C</v>
      </c>
      <c r="G40" s="19" t="str">
        <f t="shared" si="14"/>
        <v>C</v>
      </c>
      <c r="H40" s="19" t="str">
        <f t="shared" si="14"/>
        <v>E</v>
      </c>
      <c r="I40" s="19" t="str">
        <f t="shared" si="14"/>
        <v>C</v>
      </c>
      <c r="J40" s="19" t="str">
        <f t="shared" si="14"/>
        <v>C</v>
      </c>
      <c r="K40" s="19" t="str">
        <f t="shared" si="14"/>
        <v>B</v>
      </c>
      <c r="L40" s="19" t="str">
        <f t="shared" si="14"/>
        <v>D</v>
      </c>
      <c r="M40" s="19" t="str">
        <f t="shared" si="14"/>
        <v>C</v>
      </c>
      <c r="N40" s="19" t="str">
        <f t="shared" si="14"/>
        <v>C</v>
      </c>
      <c r="O40" s="19" t="str">
        <f t="shared" si="14"/>
        <v>C</v>
      </c>
      <c r="P40" s="19" t="str">
        <f t="shared" si="14"/>
        <v>E</v>
      </c>
      <c r="Q40" s="19" t="str">
        <f t="shared" si="14"/>
        <v>B</v>
      </c>
      <c r="R40" s="19" t="str">
        <f t="shared" si="14"/>
        <v>E</v>
      </c>
      <c r="S40" s="19" t="str">
        <f t="shared" si="14"/>
        <v>E</v>
      </c>
      <c r="T40" s="19" t="str">
        <f t="shared" si="14"/>
        <v>C</v>
      </c>
      <c r="U40" s="19" t="str">
        <f t="shared" si="14"/>
        <v>C</v>
      </c>
      <c r="V40" s="19" t="str">
        <f t="shared" si="14"/>
        <v>D</v>
      </c>
      <c r="W40" s="19" t="str">
        <f t="shared" si="14"/>
        <v>D</v>
      </c>
      <c r="X40" s="19" t="str">
        <f t="shared" si="14"/>
        <v>B</v>
      </c>
      <c r="Y40" s="19" t="str">
        <f t="shared" si="14"/>
        <v>D</v>
      </c>
      <c r="Z40" s="19" t="str">
        <f t="shared" si="14"/>
        <v>D</v>
      </c>
      <c r="AA40" s="19" t="str">
        <f t="shared" si="14"/>
        <v>D</v>
      </c>
      <c r="AB40" s="19" t="str">
        <f t="shared" si="14"/>
        <v>C</v>
      </c>
      <c r="AC40" s="19" t="str">
        <f t="shared" si="14"/>
        <v>C</v>
      </c>
      <c r="AD40" s="19" t="str">
        <f t="shared" si="14"/>
        <v>D</v>
      </c>
      <c r="AE40" s="19" t="str">
        <f t="shared" si="14"/>
        <v>C</v>
      </c>
      <c r="AF40" s="19" t="str">
        <f t="shared" si="14"/>
        <v>C</v>
      </c>
      <c r="AG40" s="19" t="str">
        <f t="shared" si="14"/>
        <v>C</v>
      </c>
      <c r="AH40" s="19" t="str">
        <f t="shared" si="14"/>
        <v>B</v>
      </c>
      <c r="AI40" s="19" t="str">
        <f t="shared" si="14"/>
        <v>C</v>
      </c>
      <c r="AJ40" s="19" t="str">
        <f t="shared" si="14"/>
        <v>D</v>
      </c>
      <c r="AK40" s="19" t="str">
        <f t="shared" si="14"/>
        <v>D</v>
      </c>
      <c r="AL40" s="19" t="str">
        <f t="shared" si="14"/>
        <v>D</v>
      </c>
      <c r="AM40" s="19" t="str">
        <f t="shared" si="14"/>
        <v>C</v>
      </c>
    </row>
    <row r="41" spans="1:39" ht="15.75" hidden="1" customHeight="1" outlineLevel="1">
      <c r="A41" s="2" t="s">
        <v>28</v>
      </c>
      <c r="B41" s="19" t="str">
        <f t="shared" ref="B41:AM41" si="15">VLOOKUP((VLOOKUP($A17,SEEDS,2)&amp;VLOOKUP(B17,SEEDS,2)&amp;(IF(EXACT(B17,UPPER(B17)),"H","A"))),DIFF,2,FALSE)</f>
        <v>E</v>
      </c>
      <c r="C41" s="19" t="str">
        <f t="shared" si="15"/>
        <v>B</v>
      </c>
      <c r="D41" s="19" t="str">
        <f t="shared" si="15"/>
        <v>B</v>
      </c>
      <c r="E41" s="19" t="str">
        <f t="shared" si="15"/>
        <v>D</v>
      </c>
      <c r="F41" s="19" t="str">
        <f t="shared" si="15"/>
        <v>B</v>
      </c>
      <c r="G41" s="19" t="str">
        <f t="shared" si="15"/>
        <v>C</v>
      </c>
      <c r="H41" s="19" t="str">
        <f t="shared" si="15"/>
        <v>D</v>
      </c>
      <c r="I41" s="19" t="str">
        <f t="shared" si="15"/>
        <v>C</v>
      </c>
      <c r="J41" s="19" t="str">
        <f t="shared" si="15"/>
        <v>C</v>
      </c>
      <c r="K41" s="19" t="str">
        <f t="shared" si="15"/>
        <v>C</v>
      </c>
      <c r="L41" s="19" t="str">
        <f t="shared" si="15"/>
        <v>D</v>
      </c>
      <c r="M41" s="19" t="str">
        <f t="shared" si="15"/>
        <v>B</v>
      </c>
      <c r="N41" s="19" t="str">
        <f t="shared" si="15"/>
        <v>B</v>
      </c>
      <c r="O41" s="19" t="str">
        <f t="shared" si="15"/>
        <v>D</v>
      </c>
      <c r="P41" s="19" t="str">
        <f t="shared" si="15"/>
        <v>B</v>
      </c>
      <c r="Q41" s="19" t="str">
        <f t="shared" si="15"/>
        <v>E</v>
      </c>
      <c r="R41" s="19" t="str">
        <f t="shared" si="15"/>
        <v>C</v>
      </c>
      <c r="S41" s="19" t="str">
        <f t="shared" si="15"/>
        <v>C</v>
      </c>
      <c r="T41" s="19" t="str">
        <f t="shared" si="15"/>
        <v>C</v>
      </c>
      <c r="U41" s="19" t="str">
        <f t="shared" si="15"/>
        <v>E</v>
      </c>
      <c r="V41" s="19" t="str">
        <f t="shared" si="15"/>
        <v>B</v>
      </c>
      <c r="W41" s="19" t="str">
        <f t="shared" si="15"/>
        <v>B</v>
      </c>
      <c r="X41" s="19" t="str">
        <f t="shared" si="15"/>
        <v>D</v>
      </c>
      <c r="Y41" s="19" t="str">
        <f t="shared" si="15"/>
        <v>C</v>
      </c>
      <c r="Z41" s="19" t="str">
        <f t="shared" si="15"/>
        <v>C</v>
      </c>
      <c r="AA41" s="19" t="str">
        <f t="shared" si="15"/>
        <v>C</v>
      </c>
      <c r="AB41" s="19" t="str">
        <f t="shared" si="15"/>
        <v>D</v>
      </c>
      <c r="AC41" s="19" t="str">
        <f t="shared" si="15"/>
        <v>E</v>
      </c>
      <c r="AD41" s="19" t="str">
        <f t="shared" si="15"/>
        <v>B</v>
      </c>
      <c r="AE41" s="19" t="str">
        <f t="shared" si="15"/>
        <v>B</v>
      </c>
      <c r="AF41" s="19" t="str">
        <f t="shared" si="15"/>
        <v>C</v>
      </c>
      <c r="AG41" s="19" t="str">
        <f t="shared" si="15"/>
        <v>D</v>
      </c>
      <c r="AH41" s="19" t="str">
        <f t="shared" si="15"/>
        <v>D</v>
      </c>
      <c r="AI41" s="19" t="str">
        <f t="shared" si="15"/>
        <v>B</v>
      </c>
      <c r="AJ41" s="19" t="str">
        <f t="shared" si="15"/>
        <v>B</v>
      </c>
      <c r="AK41" s="19" t="str">
        <f t="shared" si="15"/>
        <v>C</v>
      </c>
      <c r="AL41" s="19" t="str">
        <f t="shared" si="15"/>
        <v>C</v>
      </c>
      <c r="AM41" s="19" t="str">
        <f t="shared" si="15"/>
        <v>D</v>
      </c>
    </row>
    <row r="42" spans="1:39" ht="15.75" hidden="1" customHeight="1" outlineLevel="1">
      <c r="A42" s="2" t="s">
        <v>12</v>
      </c>
      <c r="B42" s="19" t="str">
        <f t="shared" ref="B42:AM42" si="16">VLOOKUP((VLOOKUP($A18,SEEDS,2)&amp;VLOOKUP(B18,SEEDS,2)&amp;(IF(EXACT(B18,UPPER(B18)),"H","A"))),DIFF,2,FALSE)</f>
        <v>E</v>
      </c>
      <c r="C42" s="19" t="str">
        <f t="shared" si="16"/>
        <v>C</v>
      </c>
      <c r="D42" s="19" t="str">
        <f t="shared" si="16"/>
        <v>B</v>
      </c>
      <c r="E42" s="19" t="str">
        <f t="shared" si="16"/>
        <v>C</v>
      </c>
      <c r="F42" s="19" t="str">
        <f t="shared" si="16"/>
        <v>B</v>
      </c>
      <c r="G42" s="19" t="str">
        <f t="shared" si="16"/>
        <v>C</v>
      </c>
      <c r="H42" s="19" t="str">
        <f t="shared" si="16"/>
        <v>D</v>
      </c>
      <c r="I42" s="19" t="str">
        <f t="shared" si="16"/>
        <v>D</v>
      </c>
      <c r="J42" s="19" t="str">
        <f t="shared" si="16"/>
        <v>C</v>
      </c>
      <c r="K42" s="19" t="str">
        <f t="shared" si="16"/>
        <v>B</v>
      </c>
      <c r="L42" s="19" t="str">
        <f t="shared" si="16"/>
        <v>C</v>
      </c>
      <c r="M42" s="19" t="str">
        <f t="shared" si="16"/>
        <v>E</v>
      </c>
      <c r="N42" s="19" t="str">
        <f t="shared" si="16"/>
        <v>C</v>
      </c>
      <c r="O42" s="19" t="str">
        <f t="shared" si="16"/>
        <v>D</v>
      </c>
      <c r="P42" s="19" t="str">
        <f t="shared" si="16"/>
        <v>C</v>
      </c>
      <c r="Q42" s="19" t="str">
        <f t="shared" si="16"/>
        <v>B</v>
      </c>
      <c r="R42" s="19" t="str">
        <f t="shared" si="16"/>
        <v>D</v>
      </c>
      <c r="S42" s="19" t="str">
        <f t="shared" si="16"/>
        <v>B</v>
      </c>
      <c r="T42" s="19" t="str">
        <f t="shared" si="16"/>
        <v>B</v>
      </c>
      <c r="U42" s="19" t="str">
        <f t="shared" si="16"/>
        <v>D</v>
      </c>
      <c r="V42" s="19" t="str">
        <f t="shared" si="16"/>
        <v>B</v>
      </c>
      <c r="W42" s="19" t="str">
        <f t="shared" si="16"/>
        <v>B</v>
      </c>
      <c r="X42" s="19" t="str">
        <f t="shared" si="16"/>
        <v>C</v>
      </c>
      <c r="Y42" s="19" t="str">
        <f t="shared" si="16"/>
        <v>B</v>
      </c>
      <c r="Z42" s="19" t="str">
        <f t="shared" si="16"/>
        <v>B</v>
      </c>
      <c r="AA42" s="19" t="str">
        <f t="shared" si="16"/>
        <v>E</v>
      </c>
      <c r="AB42" s="19" t="str">
        <f t="shared" si="16"/>
        <v>C</v>
      </c>
      <c r="AC42" s="19" t="str">
        <f t="shared" si="16"/>
        <v>C</v>
      </c>
      <c r="AD42" s="19" t="str">
        <f t="shared" si="16"/>
        <v>D</v>
      </c>
      <c r="AE42" s="19" t="str">
        <f t="shared" si="16"/>
        <v>C</v>
      </c>
      <c r="AF42" s="19" t="str">
        <f t="shared" si="16"/>
        <v>B</v>
      </c>
      <c r="AG42" s="19" t="str">
        <f t="shared" si="16"/>
        <v>D</v>
      </c>
      <c r="AH42" s="19" t="str">
        <f t="shared" si="16"/>
        <v>D</v>
      </c>
      <c r="AI42" s="19" t="str">
        <f t="shared" si="16"/>
        <v>D</v>
      </c>
      <c r="AJ42" s="19" t="str">
        <f t="shared" si="16"/>
        <v>C</v>
      </c>
      <c r="AK42" s="19" t="str">
        <f t="shared" si="16"/>
        <v>E</v>
      </c>
      <c r="AL42" s="19" t="str">
        <f t="shared" si="16"/>
        <v>C</v>
      </c>
      <c r="AM42" s="19" t="str">
        <f t="shared" si="16"/>
        <v>B</v>
      </c>
    </row>
    <row r="43" spans="1:39" ht="15.75" hidden="1" customHeight="1" outlineLevel="1">
      <c r="A43" s="2" t="s">
        <v>32</v>
      </c>
      <c r="B43" s="19" t="str">
        <f t="shared" ref="B43:AM43" si="17">VLOOKUP((VLOOKUP($A19,SEEDS,2)&amp;VLOOKUP(B19,SEEDS,2)&amp;(IF(EXACT(B19,UPPER(B19)),"H","A"))),DIFF,2,FALSE)</f>
        <v>D</v>
      </c>
      <c r="C43" s="19" t="str">
        <f t="shared" si="17"/>
        <v>C</v>
      </c>
      <c r="D43" s="19" t="str">
        <f t="shared" si="17"/>
        <v>C</v>
      </c>
      <c r="E43" s="19" t="str">
        <f t="shared" si="17"/>
        <v>E</v>
      </c>
      <c r="F43" s="19" t="str">
        <f t="shared" si="17"/>
        <v>C</v>
      </c>
      <c r="G43" s="19" t="str">
        <f t="shared" si="17"/>
        <v>C</v>
      </c>
      <c r="H43" s="19" t="str">
        <f t="shared" si="17"/>
        <v>C</v>
      </c>
      <c r="I43" s="19" t="str">
        <f t="shared" si="17"/>
        <v>C</v>
      </c>
      <c r="J43" s="19" t="str">
        <f t="shared" si="17"/>
        <v>D</v>
      </c>
      <c r="K43" s="19" t="str">
        <f t="shared" si="17"/>
        <v>D</v>
      </c>
      <c r="L43" s="19" t="str">
        <f t="shared" si="17"/>
        <v>C</v>
      </c>
      <c r="M43" s="19" t="str">
        <f t="shared" si="17"/>
        <v>C</v>
      </c>
      <c r="N43" s="19" t="str">
        <f t="shared" si="17"/>
        <v>D</v>
      </c>
      <c r="O43" s="19" t="str">
        <f t="shared" si="17"/>
        <v>C</v>
      </c>
      <c r="P43" s="19" t="str">
        <f t="shared" si="17"/>
        <v>B</v>
      </c>
      <c r="Q43" s="19" t="str">
        <f t="shared" si="17"/>
        <v>C</v>
      </c>
      <c r="R43" s="19" t="str">
        <f t="shared" si="17"/>
        <v>C</v>
      </c>
      <c r="S43" s="19" t="str">
        <f t="shared" si="17"/>
        <v>E</v>
      </c>
      <c r="T43" s="19" t="str">
        <f t="shared" si="17"/>
        <v>C</v>
      </c>
      <c r="U43" s="19" t="str">
        <f t="shared" si="17"/>
        <v>D</v>
      </c>
      <c r="V43" s="19" t="str">
        <f t="shared" si="17"/>
        <v>D</v>
      </c>
      <c r="W43" s="19" t="str">
        <f t="shared" si="17"/>
        <v>D</v>
      </c>
      <c r="X43" s="19" t="str">
        <f t="shared" si="17"/>
        <v>B</v>
      </c>
      <c r="Y43" s="19" t="str">
        <f t="shared" si="17"/>
        <v>D</v>
      </c>
      <c r="Z43" s="19" t="str">
        <f t="shared" si="17"/>
        <v>D</v>
      </c>
      <c r="AA43" s="19" t="str">
        <f t="shared" si="17"/>
        <v>C</v>
      </c>
      <c r="AB43" s="19" t="str">
        <f t="shared" si="17"/>
        <v>B</v>
      </c>
      <c r="AC43" s="19" t="str">
        <f t="shared" si="17"/>
        <v>E</v>
      </c>
      <c r="AD43" s="19" t="str">
        <f t="shared" si="17"/>
        <v>B</v>
      </c>
      <c r="AE43" s="19" t="str">
        <f t="shared" si="17"/>
        <v>C</v>
      </c>
      <c r="AF43" s="19" t="str">
        <f t="shared" si="17"/>
        <v>C</v>
      </c>
      <c r="AG43" s="19" t="str">
        <f t="shared" si="17"/>
        <v>E</v>
      </c>
      <c r="AH43" s="19" t="str">
        <f t="shared" si="17"/>
        <v>C</v>
      </c>
      <c r="AI43" s="19" t="str">
        <f t="shared" si="17"/>
        <v>C</v>
      </c>
      <c r="AJ43" s="19" t="str">
        <f t="shared" si="17"/>
        <v>C</v>
      </c>
      <c r="AK43" s="19" t="str">
        <f t="shared" si="17"/>
        <v>C</v>
      </c>
      <c r="AL43" s="19" t="str">
        <f t="shared" si="17"/>
        <v>D</v>
      </c>
      <c r="AM43" s="19" t="str">
        <f t="shared" si="17"/>
        <v>B</v>
      </c>
    </row>
    <row r="44" spans="1:39" ht="15.75" hidden="1" customHeight="1" outlineLevel="1">
      <c r="A44" s="2" t="s">
        <v>30</v>
      </c>
      <c r="B44" s="19" t="str">
        <f t="shared" ref="B44:AM44" si="18">VLOOKUP((VLOOKUP($A20,SEEDS,2)&amp;VLOOKUP(B20,SEEDS,2)&amp;(IF(EXACT(B20,UPPER(B20)),"H","A"))),DIFF,2,FALSE)</f>
        <v>D</v>
      </c>
      <c r="C44" s="19" t="str">
        <f t="shared" si="18"/>
        <v>C</v>
      </c>
      <c r="D44" s="19" t="str">
        <f t="shared" si="18"/>
        <v>D</v>
      </c>
      <c r="E44" s="19" t="str">
        <f t="shared" si="18"/>
        <v>D</v>
      </c>
      <c r="F44" s="19" t="str">
        <f t="shared" si="18"/>
        <v>C</v>
      </c>
      <c r="G44" s="19" t="str">
        <f t="shared" si="18"/>
        <v>C</v>
      </c>
      <c r="H44" s="19" t="str">
        <f t="shared" si="18"/>
        <v>C</v>
      </c>
      <c r="I44" s="19" t="str">
        <f t="shared" si="18"/>
        <v>C</v>
      </c>
      <c r="J44" s="19" t="str">
        <f t="shared" si="18"/>
        <v>B</v>
      </c>
      <c r="K44" s="19" t="str">
        <f t="shared" si="18"/>
        <v>C</v>
      </c>
      <c r="L44" s="19" t="str">
        <f t="shared" si="18"/>
        <v>B</v>
      </c>
      <c r="M44" s="19" t="str">
        <f t="shared" si="18"/>
        <v>E</v>
      </c>
      <c r="N44" s="19" t="str">
        <f t="shared" si="18"/>
        <v>D</v>
      </c>
      <c r="O44" s="19" t="str">
        <f t="shared" si="18"/>
        <v>C</v>
      </c>
      <c r="P44" s="19" t="str">
        <f t="shared" si="18"/>
        <v>C</v>
      </c>
      <c r="Q44" s="19" t="str">
        <f t="shared" si="18"/>
        <v>D</v>
      </c>
      <c r="R44" s="19" t="str">
        <f t="shared" si="18"/>
        <v>B</v>
      </c>
      <c r="S44" s="19" t="str">
        <f t="shared" si="18"/>
        <v>D</v>
      </c>
      <c r="T44" s="19" t="str">
        <f t="shared" si="18"/>
        <v>B</v>
      </c>
      <c r="U44" s="19" t="str">
        <f t="shared" si="18"/>
        <v>C</v>
      </c>
      <c r="V44" s="19" t="str">
        <f t="shared" si="18"/>
        <v>E</v>
      </c>
      <c r="W44" s="19" t="str">
        <f t="shared" si="18"/>
        <v>D</v>
      </c>
      <c r="X44" s="19" t="str">
        <f t="shared" si="18"/>
        <v>C</v>
      </c>
      <c r="Y44" s="19" t="str">
        <f t="shared" si="18"/>
        <v>C</v>
      </c>
      <c r="Z44" s="19" t="str">
        <f t="shared" si="18"/>
        <v>C</v>
      </c>
      <c r="AA44" s="19" t="str">
        <f t="shared" si="18"/>
        <v>D</v>
      </c>
      <c r="AB44" s="19" t="str">
        <f t="shared" si="18"/>
        <v>C</v>
      </c>
      <c r="AC44" s="19" t="str">
        <f t="shared" si="18"/>
        <v>C</v>
      </c>
      <c r="AD44" s="19" t="str">
        <f t="shared" si="18"/>
        <v>D</v>
      </c>
      <c r="AE44" s="19" t="str">
        <f t="shared" si="18"/>
        <v>E</v>
      </c>
      <c r="AF44" s="19" t="str">
        <f t="shared" si="18"/>
        <v>B</v>
      </c>
      <c r="AG44" s="19" t="str">
        <f t="shared" si="18"/>
        <v>C</v>
      </c>
      <c r="AH44" s="19" t="str">
        <f t="shared" si="18"/>
        <v>E</v>
      </c>
      <c r="AI44" s="19" t="str">
        <f t="shared" si="18"/>
        <v>B</v>
      </c>
      <c r="AJ44" s="19" t="str">
        <f t="shared" si="18"/>
        <v>D</v>
      </c>
      <c r="AK44" s="19" t="str">
        <f t="shared" si="18"/>
        <v>C</v>
      </c>
      <c r="AL44" s="19" t="str">
        <f t="shared" si="18"/>
        <v>C</v>
      </c>
      <c r="AM44" s="19" t="str">
        <f t="shared" si="18"/>
        <v>C</v>
      </c>
    </row>
    <row r="45" spans="1:39" ht="15.75" hidden="1" customHeight="1" outlineLevel="1" thickBot="1">
      <c r="A45" s="3" t="s">
        <v>1</v>
      </c>
      <c r="B45" s="19" t="str">
        <f t="shared" ref="B45:AM45" si="19">VLOOKUP((VLOOKUP($A21,SEEDS,2)&amp;VLOOKUP(B21,SEEDS,2)&amp;(IF(EXACT(B21,UPPER(B21)),"H","A"))),DIFF,2,FALSE)</f>
        <v>E</v>
      </c>
      <c r="C45" s="19" t="str">
        <f t="shared" si="19"/>
        <v>B</v>
      </c>
      <c r="D45" s="19" t="str">
        <f t="shared" si="19"/>
        <v>B</v>
      </c>
      <c r="E45" s="19" t="str">
        <f t="shared" si="19"/>
        <v>D</v>
      </c>
      <c r="F45" s="19" t="str">
        <f t="shared" si="19"/>
        <v>B</v>
      </c>
      <c r="G45" s="19" t="str">
        <f t="shared" si="19"/>
        <v>E</v>
      </c>
      <c r="H45" s="19" t="str">
        <f t="shared" si="19"/>
        <v>B</v>
      </c>
      <c r="I45" s="19" t="str">
        <f t="shared" si="19"/>
        <v>C</v>
      </c>
      <c r="J45" s="19" t="str">
        <f t="shared" si="19"/>
        <v>C</v>
      </c>
      <c r="K45" s="19" t="str">
        <f t="shared" si="19"/>
        <v>D</v>
      </c>
      <c r="L45" s="19" t="str">
        <f t="shared" si="19"/>
        <v>C</v>
      </c>
      <c r="M45" s="19" t="str">
        <f t="shared" si="19"/>
        <v>C</v>
      </c>
      <c r="N45" s="19" t="str">
        <f t="shared" si="19"/>
        <v>D</v>
      </c>
      <c r="O45" s="19" t="str">
        <f t="shared" si="19"/>
        <v>C</v>
      </c>
      <c r="P45" s="19" t="str">
        <f t="shared" si="19"/>
        <v>E</v>
      </c>
      <c r="Q45" s="19" t="str">
        <f t="shared" si="19"/>
        <v>C</v>
      </c>
      <c r="R45" s="19" t="str">
        <f t="shared" si="19"/>
        <v>D</v>
      </c>
      <c r="S45" s="19" t="str">
        <f t="shared" si="19"/>
        <v>C</v>
      </c>
      <c r="T45" s="19" t="str">
        <f t="shared" si="19"/>
        <v>C</v>
      </c>
      <c r="U45" s="19" t="str">
        <f t="shared" si="19"/>
        <v>C</v>
      </c>
      <c r="V45" s="19" t="str">
        <f t="shared" si="19"/>
        <v>C</v>
      </c>
      <c r="W45" s="19" t="str">
        <f t="shared" si="19"/>
        <v>C</v>
      </c>
      <c r="X45" s="19" t="str">
        <f t="shared" si="19"/>
        <v>D</v>
      </c>
      <c r="Y45" s="19" t="str">
        <f t="shared" si="19"/>
        <v>C</v>
      </c>
      <c r="Z45" s="19" t="str">
        <f t="shared" si="19"/>
        <v>D</v>
      </c>
      <c r="AA45" s="19" t="str">
        <f t="shared" si="19"/>
        <v>C</v>
      </c>
      <c r="AB45" s="19" t="str">
        <f t="shared" si="19"/>
        <v>B</v>
      </c>
      <c r="AC45" s="19" t="str">
        <f t="shared" si="19"/>
        <v>C</v>
      </c>
      <c r="AD45" s="19" t="str">
        <f t="shared" si="19"/>
        <v>D</v>
      </c>
      <c r="AE45" s="19" t="str">
        <f t="shared" si="19"/>
        <v>B</v>
      </c>
      <c r="AF45" s="19" t="str">
        <f t="shared" si="19"/>
        <v>E</v>
      </c>
      <c r="AG45" s="19" t="str">
        <f t="shared" si="19"/>
        <v>C</v>
      </c>
      <c r="AH45" s="19" t="str">
        <f t="shared" si="19"/>
        <v>D</v>
      </c>
      <c r="AI45" s="19" t="str">
        <f t="shared" si="19"/>
        <v>C</v>
      </c>
      <c r="AJ45" s="19" t="str">
        <f t="shared" si="19"/>
        <v>D</v>
      </c>
      <c r="AK45" s="19" t="str">
        <f t="shared" si="19"/>
        <v>C</v>
      </c>
      <c r="AL45" s="19" t="str">
        <f t="shared" si="19"/>
        <v>C</v>
      </c>
      <c r="AM45" s="19" t="str">
        <f t="shared" si="19"/>
        <v>D</v>
      </c>
    </row>
    <row r="46" spans="1:39" ht="15.6" customHeight="1" collapsed="1" thickBot="1"/>
    <row r="47" spans="1:39" ht="15.75" customHeight="1">
      <c r="K47" s="53" t="s">
        <v>41</v>
      </c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5"/>
    </row>
    <row r="48" spans="1:39" ht="15.75" customHeight="1" thickBot="1"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8"/>
    </row>
  </sheetData>
  <mergeCells count="1">
    <mergeCell ref="K47:AB48"/>
  </mergeCells>
  <conditionalFormatting sqref="B2:AM21">
    <cfRule type="expression" dxfId="61" priority="1">
      <formula>(B26)=("E")</formula>
    </cfRule>
    <cfRule type="expression" dxfId="60" priority="2">
      <formula>(B26)=("D")</formula>
    </cfRule>
    <cfRule type="expression" dxfId="59" priority="3">
      <formula>(B26)=("C")</formula>
    </cfRule>
    <cfRule type="expression" dxfId="58" priority="4">
      <formula>(B26)=("A")</formula>
    </cfRule>
    <cfRule type="expression" dxfId="57" priority="5">
      <formula>(B26)=("B")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70"/>
  <sheetViews>
    <sheetView zoomScale="90" zoomScaleNormal="90" workbookViewId="0">
      <selection activeCell="G73" sqref="G73"/>
    </sheetView>
  </sheetViews>
  <sheetFormatPr defaultColWidth="14.42578125" defaultRowHeight="15.75" customHeight="1" outlineLevelRow="1"/>
  <cols>
    <col min="2" max="39" width="5.28515625" customWidth="1"/>
  </cols>
  <sheetData>
    <row r="1" spans="1:39" ht="15.75" customHeight="1" thickBot="1">
      <c r="A1" s="23"/>
      <c r="B1" s="24">
        <v>1</v>
      </c>
      <c r="C1" s="25">
        <v>2</v>
      </c>
      <c r="D1" s="25">
        <v>3</v>
      </c>
      <c r="E1" s="25">
        <v>4</v>
      </c>
      <c r="F1" s="25">
        <v>5</v>
      </c>
      <c r="G1" s="25">
        <v>6</v>
      </c>
      <c r="H1" s="25">
        <v>7</v>
      </c>
      <c r="I1" s="25">
        <v>8</v>
      </c>
      <c r="J1" s="25">
        <v>9</v>
      </c>
      <c r="K1" s="25">
        <v>10</v>
      </c>
      <c r="L1" s="25">
        <v>11</v>
      </c>
      <c r="M1" s="25">
        <v>12</v>
      </c>
      <c r="N1" s="25">
        <v>13</v>
      </c>
      <c r="O1" s="25">
        <v>14</v>
      </c>
      <c r="P1" s="25">
        <v>15</v>
      </c>
      <c r="Q1" s="25">
        <v>16</v>
      </c>
      <c r="R1" s="25">
        <v>17</v>
      </c>
      <c r="S1" s="25">
        <v>18</v>
      </c>
      <c r="T1" s="25">
        <v>19</v>
      </c>
      <c r="U1" s="25">
        <v>20</v>
      </c>
      <c r="V1" s="25">
        <v>21</v>
      </c>
      <c r="W1" s="25">
        <v>22</v>
      </c>
      <c r="X1" s="25">
        <v>23</v>
      </c>
      <c r="Y1" s="25">
        <v>24</v>
      </c>
      <c r="Z1" s="25">
        <v>25</v>
      </c>
      <c r="AA1" s="25">
        <v>26</v>
      </c>
      <c r="AB1" s="25">
        <v>27</v>
      </c>
      <c r="AC1" s="25">
        <v>28</v>
      </c>
      <c r="AD1" s="25">
        <v>29</v>
      </c>
      <c r="AE1" s="25">
        <v>30</v>
      </c>
      <c r="AF1" s="25">
        <v>31</v>
      </c>
      <c r="AG1" s="25">
        <v>32</v>
      </c>
      <c r="AH1" s="25">
        <v>33</v>
      </c>
      <c r="AI1" s="25">
        <v>34</v>
      </c>
      <c r="AJ1" s="25">
        <v>35</v>
      </c>
      <c r="AK1" s="25">
        <v>36</v>
      </c>
      <c r="AL1" s="25">
        <v>37</v>
      </c>
      <c r="AM1" s="26">
        <v>38</v>
      </c>
    </row>
    <row r="2" spans="1:39" ht="15.75" customHeight="1" thickBot="1">
      <c r="A2" s="28" t="s">
        <v>40</v>
      </c>
      <c r="B2" s="19" t="str">
        <f>IFERROR(VLOOKUP($A2,$A$26:$AM$45,(B$1+1),0),"")</f>
        <v/>
      </c>
      <c r="C2" s="19" t="str">
        <f t="shared" ref="C2:AM8" si="0">IFERROR(VLOOKUP($A2,$A$26:$AM$45,(C$1+1),0),"")</f>
        <v/>
      </c>
      <c r="D2" s="19" t="str">
        <f t="shared" si="0"/>
        <v/>
      </c>
      <c r="E2" s="19" t="str">
        <f t="shared" si="0"/>
        <v/>
      </c>
      <c r="F2" s="19" t="str">
        <f t="shared" si="0"/>
        <v/>
      </c>
      <c r="G2" s="19" t="str">
        <f t="shared" si="0"/>
        <v/>
      </c>
      <c r="H2" s="19" t="str">
        <f t="shared" si="0"/>
        <v/>
      </c>
      <c r="I2" s="19" t="str">
        <f t="shared" si="0"/>
        <v/>
      </c>
      <c r="J2" s="19" t="str">
        <f t="shared" si="0"/>
        <v/>
      </c>
      <c r="K2" s="19" t="str">
        <f t="shared" si="0"/>
        <v/>
      </c>
      <c r="L2" s="19" t="str">
        <f t="shared" si="0"/>
        <v/>
      </c>
      <c r="M2" s="19" t="str">
        <f t="shared" si="0"/>
        <v/>
      </c>
      <c r="N2" s="19" t="str">
        <f t="shared" si="0"/>
        <v/>
      </c>
      <c r="O2" s="19" t="str">
        <f t="shared" si="0"/>
        <v/>
      </c>
      <c r="P2" s="19" t="str">
        <f t="shared" si="0"/>
        <v/>
      </c>
      <c r="Q2" s="19" t="str">
        <f t="shared" si="0"/>
        <v/>
      </c>
      <c r="R2" s="19" t="str">
        <f t="shared" si="0"/>
        <v/>
      </c>
      <c r="S2" s="19" t="str">
        <f t="shared" si="0"/>
        <v/>
      </c>
      <c r="T2" s="19" t="str">
        <f t="shared" si="0"/>
        <v/>
      </c>
      <c r="U2" s="19" t="str">
        <f t="shared" si="0"/>
        <v/>
      </c>
      <c r="V2" s="19" t="str">
        <f t="shared" si="0"/>
        <v/>
      </c>
      <c r="W2" s="19" t="str">
        <f t="shared" si="0"/>
        <v/>
      </c>
      <c r="X2" s="19" t="str">
        <f t="shared" si="0"/>
        <v/>
      </c>
      <c r="Y2" s="19" t="str">
        <f t="shared" si="0"/>
        <v/>
      </c>
      <c r="Z2" s="19" t="str">
        <f t="shared" si="0"/>
        <v/>
      </c>
      <c r="AA2" s="19" t="str">
        <f t="shared" si="0"/>
        <v/>
      </c>
      <c r="AB2" s="19" t="str">
        <f t="shared" si="0"/>
        <v/>
      </c>
      <c r="AC2" s="19" t="str">
        <f t="shared" si="0"/>
        <v/>
      </c>
      <c r="AD2" s="19" t="str">
        <f t="shared" si="0"/>
        <v/>
      </c>
      <c r="AE2" s="19" t="str">
        <f t="shared" si="0"/>
        <v/>
      </c>
      <c r="AF2" s="19" t="str">
        <f t="shared" si="0"/>
        <v/>
      </c>
      <c r="AG2" s="19" t="str">
        <f t="shared" si="0"/>
        <v/>
      </c>
      <c r="AH2" s="19" t="str">
        <f t="shared" si="0"/>
        <v/>
      </c>
      <c r="AI2" s="19" t="str">
        <f t="shared" si="0"/>
        <v/>
      </c>
      <c r="AJ2" s="19" t="str">
        <f t="shared" si="0"/>
        <v/>
      </c>
      <c r="AK2" s="19" t="str">
        <f t="shared" si="0"/>
        <v/>
      </c>
      <c r="AL2" s="19" t="str">
        <f t="shared" si="0"/>
        <v/>
      </c>
      <c r="AM2" s="19" t="str">
        <f t="shared" si="0"/>
        <v/>
      </c>
    </row>
    <row r="3" spans="1:39" ht="15.75" customHeight="1" thickBot="1">
      <c r="A3" s="28" t="s">
        <v>40</v>
      </c>
      <c r="B3" s="19" t="str">
        <f t="shared" ref="B3:Q21" si="1">IFERROR(VLOOKUP($A3,$A$26:$AM$45,(B$1+1),0),"")</f>
        <v/>
      </c>
      <c r="C3" s="19" t="str">
        <f t="shared" si="0"/>
        <v/>
      </c>
      <c r="D3" s="19" t="str">
        <f t="shared" si="0"/>
        <v/>
      </c>
      <c r="E3" s="19" t="str">
        <f t="shared" si="0"/>
        <v/>
      </c>
      <c r="F3" s="19" t="str">
        <f t="shared" si="0"/>
        <v/>
      </c>
      <c r="G3" s="19" t="str">
        <f t="shared" si="0"/>
        <v/>
      </c>
      <c r="H3" s="19" t="str">
        <f t="shared" si="0"/>
        <v/>
      </c>
      <c r="I3" s="19" t="str">
        <f t="shared" si="0"/>
        <v/>
      </c>
      <c r="J3" s="19" t="str">
        <f t="shared" si="0"/>
        <v/>
      </c>
      <c r="K3" s="19" t="str">
        <f t="shared" si="0"/>
        <v/>
      </c>
      <c r="L3" s="19" t="str">
        <f t="shared" si="0"/>
        <v/>
      </c>
      <c r="M3" s="19" t="str">
        <f t="shared" si="0"/>
        <v/>
      </c>
      <c r="N3" s="19" t="str">
        <f t="shared" si="0"/>
        <v/>
      </c>
      <c r="O3" s="19" t="str">
        <f t="shared" si="0"/>
        <v/>
      </c>
      <c r="P3" s="19" t="str">
        <f t="shared" si="0"/>
        <v/>
      </c>
      <c r="Q3" s="19" t="str">
        <f t="shared" si="0"/>
        <v/>
      </c>
      <c r="R3" s="19" t="str">
        <f t="shared" si="0"/>
        <v/>
      </c>
      <c r="S3" s="19" t="str">
        <f t="shared" si="0"/>
        <v/>
      </c>
      <c r="T3" s="19" t="str">
        <f t="shared" si="0"/>
        <v/>
      </c>
      <c r="U3" s="19" t="str">
        <f t="shared" si="0"/>
        <v/>
      </c>
      <c r="V3" s="19" t="str">
        <f t="shared" si="0"/>
        <v/>
      </c>
      <c r="W3" s="19" t="str">
        <f t="shared" si="0"/>
        <v/>
      </c>
      <c r="X3" s="19" t="str">
        <f t="shared" si="0"/>
        <v/>
      </c>
      <c r="Y3" s="19" t="str">
        <f t="shared" si="0"/>
        <v/>
      </c>
      <c r="Z3" s="19" t="str">
        <f t="shared" si="0"/>
        <v/>
      </c>
      <c r="AA3" s="19" t="str">
        <f t="shared" si="0"/>
        <v/>
      </c>
      <c r="AB3" s="19" t="str">
        <f t="shared" si="0"/>
        <v/>
      </c>
      <c r="AC3" s="19" t="str">
        <f t="shared" si="0"/>
        <v/>
      </c>
      <c r="AD3" s="19" t="str">
        <f t="shared" si="0"/>
        <v/>
      </c>
      <c r="AE3" s="19" t="str">
        <f t="shared" si="0"/>
        <v/>
      </c>
      <c r="AF3" s="19" t="str">
        <f t="shared" si="0"/>
        <v/>
      </c>
      <c r="AG3" s="19" t="str">
        <f t="shared" si="0"/>
        <v/>
      </c>
      <c r="AH3" s="19" t="str">
        <f t="shared" si="0"/>
        <v/>
      </c>
      <c r="AI3" s="19" t="str">
        <f t="shared" si="0"/>
        <v/>
      </c>
      <c r="AJ3" s="19" t="str">
        <f t="shared" si="0"/>
        <v/>
      </c>
      <c r="AK3" s="19" t="str">
        <f t="shared" si="0"/>
        <v/>
      </c>
      <c r="AL3" s="19" t="str">
        <f t="shared" si="0"/>
        <v/>
      </c>
      <c r="AM3" s="19" t="str">
        <f t="shared" si="0"/>
        <v/>
      </c>
    </row>
    <row r="4" spans="1:39" ht="15.75" customHeight="1" thickBot="1">
      <c r="A4" s="28" t="s">
        <v>40</v>
      </c>
      <c r="B4" s="19" t="str">
        <f t="shared" si="1"/>
        <v/>
      </c>
      <c r="C4" s="19" t="str">
        <f t="shared" si="0"/>
        <v/>
      </c>
      <c r="D4" s="19" t="str">
        <f t="shared" si="0"/>
        <v/>
      </c>
      <c r="E4" s="19" t="str">
        <f t="shared" si="0"/>
        <v/>
      </c>
      <c r="F4" s="19" t="str">
        <f t="shared" si="0"/>
        <v/>
      </c>
      <c r="G4" s="19" t="str">
        <f t="shared" si="0"/>
        <v/>
      </c>
      <c r="H4" s="19" t="str">
        <f t="shared" si="0"/>
        <v/>
      </c>
      <c r="I4" s="19" t="str">
        <f t="shared" si="0"/>
        <v/>
      </c>
      <c r="J4" s="19" t="str">
        <f t="shared" si="0"/>
        <v/>
      </c>
      <c r="K4" s="19" t="str">
        <f t="shared" si="0"/>
        <v/>
      </c>
      <c r="L4" s="19" t="str">
        <f t="shared" si="0"/>
        <v/>
      </c>
      <c r="M4" s="19" t="str">
        <f t="shared" si="0"/>
        <v/>
      </c>
      <c r="N4" s="19" t="str">
        <f t="shared" si="0"/>
        <v/>
      </c>
      <c r="O4" s="19" t="str">
        <f t="shared" si="0"/>
        <v/>
      </c>
      <c r="P4" s="19" t="str">
        <f t="shared" si="0"/>
        <v/>
      </c>
      <c r="Q4" s="19" t="str">
        <f t="shared" si="0"/>
        <v/>
      </c>
      <c r="R4" s="19" t="str">
        <f t="shared" si="0"/>
        <v/>
      </c>
      <c r="S4" s="19" t="str">
        <f t="shared" si="0"/>
        <v/>
      </c>
      <c r="T4" s="19" t="str">
        <f t="shared" si="0"/>
        <v/>
      </c>
      <c r="U4" s="19" t="str">
        <f t="shared" si="0"/>
        <v/>
      </c>
      <c r="V4" s="19" t="str">
        <f t="shared" si="0"/>
        <v/>
      </c>
      <c r="W4" s="19" t="str">
        <f t="shared" si="0"/>
        <v/>
      </c>
      <c r="X4" s="19" t="str">
        <f t="shared" si="0"/>
        <v/>
      </c>
      <c r="Y4" s="19" t="str">
        <f t="shared" si="0"/>
        <v/>
      </c>
      <c r="Z4" s="19" t="str">
        <f t="shared" si="0"/>
        <v/>
      </c>
      <c r="AA4" s="19" t="str">
        <f t="shared" si="0"/>
        <v/>
      </c>
      <c r="AB4" s="19" t="str">
        <f t="shared" si="0"/>
        <v/>
      </c>
      <c r="AC4" s="19" t="str">
        <f t="shared" si="0"/>
        <v/>
      </c>
      <c r="AD4" s="19" t="str">
        <f t="shared" si="0"/>
        <v/>
      </c>
      <c r="AE4" s="19" t="str">
        <f t="shared" si="0"/>
        <v/>
      </c>
      <c r="AF4" s="19" t="str">
        <f t="shared" si="0"/>
        <v/>
      </c>
      <c r="AG4" s="19" t="str">
        <f t="shared" si="0"/>
        <v/>
      </c>
      <c r="AH4" s="19" t="str">
        <f t="shared" si="0"/>
        <v/>
      </c>
      <c r="AI4" s="19" t="str">
        <f t="shared" si="0"/>
        <v/>
      </c>
      <c r="AJ4" s="19" t="str">
        <f t="shared" si="0"/>
        <v/>
      </c>
      <c r="AK4" s="19" t="str">
        <f t="shared" si="0"/>
        <v/>
      </c>
      <c r="AL4" s="19" t="str">
        <f t="shared" si="0"/>
        <v/>
      </c>
      <c r="AM4" s="19" t="str">
        <f t="shared" si="0"/>
        <v/>
      </c>
    </row>
    <row r="5" spans="1:39" ht="15.75" customHeight="1" thickBot="1">
      <c r="A5" s="28" t="s">
        <v>40</v>
      </c>
      <c r="B5" s="19" t="str">
        <f t="shared" si="1"/>
        <v/>
      </c>
      <c r="C5" s="19" t="str">
        <f t="shared" si="0"/>
        <v/>
      </c>
      <c r="D5" s="19" t="str">
        <f t="shared" si="0"/>
        <v/>
      </c>
      <c r="E5" s="19" t="str">
        <f t="shared" si="0"/>
        <v/>
      </c>
      <c r="F5" s="19" t="str">
        <f t="shared" si="0"/>
        <v/>
      </c>
      <c r="G5" s="19" t="str">
        <f t="shared" si="0"/>
        <v/>
      </c>
      <c r="H5" s="19" t="str">
        <f t="shared" si="0"/>
        <v/>
      </c>
      <c r="I5" s="19" t="str">
        <f t="shared" si="0"/>
        <v/>
      </c>
      <c r="J5" s="19" t="str">
        <f t="shared" si="0"/>
        <v/>
      </c>
      <c r="K5" s="19" t="str">
        <f t="shared" si="0"/>
        <v/>
      </c>
      <c r="L5" s="19" t="str">
        <f t="shared" si="0"/>
        <v/>
      </c>
      <c r="M5" s="19" t="str">
        <f t="shared" si="0"/>
        <v/>
      </c>
      <c r="N5" s="19" t="str">
        <f t="shared" si="0"/>
        <v/>
      </c>
      <c r="O5" s="19" t="str">
        <f t="shared" si="0"/>
        <v/>
      </c>
      <c r="P5" s="19" t="str">
        <f t="shared" si="0"/>
        <v/>
      </c>
      <c r="Q5" s="19" t="str">
        <f t="shared" si="0"/>
        <v/>
      </c>
      <c r="R5" s="19" t="str">
        <f t="shared" si="0"/>
        <v/>
      </c>
      <c r="S5" s="19" t="str">
        <f t="shared" si="0"/>
        <v/>
      </c>
      <c r="T5" s="19" t="str">
        <f t="shared" si="0"/>
        <v/>
      </c>
      <c r="U5" s="19" t="str">
        <f t="shared" si="0"/>
        <v/>
      </c>
      <c r="V5" s="19" t="str">
        <f t="shared" si="0"/>
        <v/>
      </c>
      <c r="W5" s="19" t="str">
        <f t="shared" si="0"/>
        <v/>
      </c>
      <c r="X5" s="19" t="str">
        <f t="shared" si="0"/>
        <v/>
      </c>
      <c r="Y5" s="19" t="str">
        <f t="shared" si="0"/>
        <v/>
      </c>
      <c r="Z5" s="19" t="str">
        <f t="shared" si="0"/>
        <v/>
      </c>
      <c r="AA5" s="19" t="str">
        <f t="shared" si="0"/>
        <v/>
      </c>
      <c r="AB5" s="19" t="str">
        <f t="shared" si="0"/>
        <v/>
      </c>
      <c r="AC5" s="19" t="str">
        <f t="shared" si="0"/>
        <v/>
      </c>
      <c r="AD5" s="19" t="str">
        <f t="shared" si="0"/>
        <v/>
      </c>
      <c r="AE5" s="19" t="str">
        <f t="shared" si="0"/>
        <v/>
      </c>
      <c r="AF5" s="19" t="str">
        <f t="shared" si="0"/>
        <v/>
      </c>
      <c r="AG5" s="19" t="str">
        <f t="shared" si="0"/>
        <v/>
      </c>
      <c r="AH5" s="19" t="str">
        <f t="shared" si="0"/>
        <v/>
      </c>
      <c r="AI5" s="19" t="str">
        <f t="shared" si="0"/>
        <v/>
      </c>
      <c r="AJ5" s="19" t="str">
        <f t="shared" si="0"/>
        <v/>
      </c>
      <c r="AK5" s="19" t="str">
        <f t="shared" si="0"/>
        <v/>
      </c>
      <c r="AL5" s="19" t="str">
        <f t="shared" si="0"/>
        <v/>
      </c>
      <c r="AM5" s="19" t="str">
        <f t="shared" si="0"/>
        <v/>
      </c>
    </row>
    <row r="6" spans="1:39" ht="15.75" customHeight="1" thickBot="1">
      <c r="A6" s="28" t="s">
        <v>40</v>
      </c>
      <c r="B6" s="19" t="str">
        <f t="shared" si="1"/>
        <v/>
      </c>
      <c r="C6" s="19" t="str">
        <f t="shared" si="0"/>
        <v/>
      </c>
      <c r="D6" s="19" t="str">
        <f t="shared" si="0"/>
        <v/>
      </c>
      <c r="E6" s="19" t="str">
        <f t="shared" si="0"/>
        <v/>
      </c>
      <c r="F6" s="19" t="str">
        <f t="shared" si="0"/>
        <v/>
      </c>
      <c r="G6" s="19" t="str">
        <f t="shared" si="0"/>
        <v/>
      </c>
      <c r="H6" s="19" t="str">
        <f t="shared" si="0"/>
        <v/>
      </c>
      <c r="I6" s="19" t="str">
        <f t="shared" si="0"/>
        <v/>
      </c>
      <c r="J6" s="19" t="str">
        <f t="shared" si="0"/>
        <v/>
      </c>
      <c r="K6" s="19" t="str">
        <f t="shared" si="0"/>
        <v/>
      </c>
      <c r="L6" s="19" t="str">
        <f t="shared" si="0"/>
        <v/>
      </c>
      <c r="M6" s="19" t="str">
        <f t="shared" si="0"/>
        <v/>
      </c>
      <c r="N6" s="19" t="str">
        <f t="shared" si="0"/>
        <v/>
      </c>
      <c r="O6" s="19" t="str">
        <f t="shared" si="0"/>
        <v/>
      </c>
      <c r="P6" s="19" t="str">
        <f t="shared" si="0"/>
        <v/>
      </c>
      <c r="Q6" s="19" t="str">
        <f t="shared" si="0"/>
        <v/>
      </c>
      <c r="R6" s="19" t="str">
        <f t="shared" si="0"/>
        <v/>
      </c>
      <c r="S6" s="19" t="str">
        <f t="shared" si="0"/>
        <v/>
      </c>
      <c r="T6" s="19" t="str">
        <f t="shared" si="0"/>
        <v/>
      </c>
      <c r="U6" s="19" t="str">
        <f t="shared" si="0"/>
        <v/>
      </c>
      <c r="V6" s="19" t="str">
        <f t="shared" si="0"/>
        <v/>
      </c>
      <c r="W6" s="19" t="str">
        <f t="shared" si="0"/>
        <v/>
      </c>
      <c r="X6" s="19" t="str">
        <f t="shared" si="0"/>
        <v/>
      </c>
      <c r="Y6" s="19" t="str">
        <f t="shared" si="0"/>
        <v/>
      </c>
      <c r="Z6" s="19" t="str">
        <f t="shared" si="0"/>
        <v/>
      </c>
      <c r="AA6" s="19" t="str">
        <f t="shared" si="0"/>
        <v/>
      </c>
      <c r="AB6" s="19" t="str">
        <f t="shared" si="0"/>
        <v/>
      </c>
      <c r="AC6" s="19" t="str">
        <f t="shared" si="0"/>
        <v/>
      </c>
      <c r="AD6" s="19" t="str">
        <f t="shared" si="0"/>
        <v/>
      </c>
      <c r="AE6" s="19" t="str">
        <f t="shared" si="0"/>
        <v/>
      </c>
      <c r="AF6" s="19" t="str">
        <f t="shared" si="0"/>
        <v/>
      </c>
      <c r="AG6" s="19" t="str">
        <f t="shared" si="0"/>
        <v/>
      </c>
      <c r="AH6" s="19" t="str">
        <f t="shared" si="0"/>
        <v/>
      </c>
      <c r="AI6" s="19" t="str">
        <f t="shared" si="0"/>
        <v/>
      </c>
      <c r="AJ6" s="19" t="str">
        <f t="shared" si="0"/>
        <v/>
      </c>
      <c r="AK6" s="19" t="str">
        <f t="shared" si="0"/>
        <v/>
      </c>
      <c r="AL6" s="19" t="str">
        <f t="shared" si="0"/>
        <v/>
      </c>
      <c r="AM6" s="19" t="str">
        <f t="shared" si="0"/>
        <v/>
      </c>
    </row>
    <row r="7" spans="1:39" ht="15.75" customHeight="1" thickBot="1">
      <c r="A7" s="28" t="s">
        <v>40</v>
      </c>
      <c r="B7" s="19" t="str">
        <f t="shared" si="1"/>
        <v/>
      </c>
      <c r="C7" s="19" t="str">
        <f t="shared" si="0"/>
        <v/>
      </c>
      <c r="D7" s="19" t="str">
        <f t="shared" si="0"/>
        <v/>
      </c>
      <c r="E7" s="19" t="str">
        <f t="shared" si="0"/>
        <v/>
      </c>
      <c r="F7" s="19" t="str">
        <f t="shared" si="0"/>
        <v/>
      </c>
      <c r="G7" s="19" t="str">
        <f t="shared" si="0"/>
        <v/>
      </c>
      <c r="H7" s="19" t="str">
        <f t="shared" si="0"/>
        <v/>
      </c>
      <c r="I7" s="19" t="str">
        <f t="shared" si="0"/>
        <v/>
      </c>
      <c r="J7" s="19" t="str">
        <f t="shared" si="0"/>
        <v/>
      </c>
      <c r="K7" s="19" t="str">
        <f t="shared" si="0"/>
        <v/>
      </c>
      <c r="L7" s="19" t="str">
        <f t="shared" si="0"/>
        <v/>
      </c>
      <c r="M7" s="19" t="str">
        <f t="shared" si="0"/>
        <v/>
      </c>
      <c r="N7" s="19" t="str">
        <f t="shared" si="0"/>
        <v/>
      </c>
      <c r="O7" s="19" t="str">
        <f t="shared" si="0"/>
        <v/>
      </c>
      <c r="P7" s="19" t="str">
        <f t="shared" si="0"/>
        <v/>
      </c>
      <c r="Q7" s="19" t="str">
        <f t="shared" si="0"/>
        <v/>
      </c>
      <c r="R7" s="19" t="str">
        <f t="shared" si="0"/>
        <v/>
      </c>
      <c r="S7" s="19" t="str">
        <f t="shared" si="0"/>
        <v/>
      </c>
      <c r="T7" s="19" t="str">
        <f t="shared" si="0"/>
        <v/>
      </c>
      <c r="U7" s="19" t="str">
        <f t="shared" si="0"/>
        <v/>
      </c>
      <c r="V7" s="19" t="str">
        <f t="shared" si="0"/>
        <v/>
      </c>
      <c r="W7" s="19" t="str">
        <f t="shared" si="0"/>
        <v/>
      </c>
      <c r="X7" s="19" t="str">
        <f t="shared" si="0"/>
        <v/>
      </c>
      <c r="Y7" s="19" t="str">
        <f t="shared" si="0"/>
        <v/>
      </c>
      <c r="Z7" s="19" t="str">
        <f t="shared" si="0"/>
        <v/>
      </c>
      <c r="AA7" s="19" t="str">
        <f t="shared" si="0"/>
        <v/>
      </c>
      <c r="AB7" s="19" t="str">
        <f t="shared" si="0"/>
        <v/>
      </c>
      <c r="AC7" s="19" t="str">
        <f t="shared" si="0"/>
        <v/>
      </c>
      <c r="AD7" s="19" t="str">
        <f t="shared" si="0"/>
        <v/>
      </c>
      <c r="AE7" s="19" t="str">
        <f t="shared" si="0"/>
        <v/>
      </c>
      <c r="AF7" s="19" t="str">
        <f t="shared" si="0"/>
        <v/>
      </c>
      <c r="AG7" s="19" t="str">
        <f t="shared" si="0"/>
        <v/>
      </c>
      <c r="AH7" s="19" t="str">
        <f t="shared" si="0"/>
        <v/>
      </c>
      <c r="AI7" s="19" t="str">
        <f t="shared" si="0"/>
        <v/>
      </c>
      <c r="AJ7" s="19" t="str">
        <f t="shared" si="0"/>
        <v/>
      </c>
      <c r="AK7" s="19" t="str">
        <f t="shared" si="0"/>
        <v/>
      </c>
      <c r="AL7" s="19" t="str">
        <f t="shared" si="0"/>
        <v/>
      </c>
      <c r="AM7" s="19" t="str">
        <f t="shared" si="0"/>
        <v/>
      </c>
    </row>
    <row r="8" spans="1:39" ht="15.75" customHeight="1" thickBot="1">
      <c r="A8" s="28" t="s">
        <v>40</v>
      </c>
      <c r="B8" s="19" t="str">
        <f t="shared" si="1"/>
        <v/>
      </c>
      <c r="C8" s="19" t="str">
        <f t="shared" si="0"/>
        <v/>
      </c>
      <c r="D8" s="19" t="str">
        <f t="shared" si="0"/>
        <v/>
      </c>
      <c r="E8" s="19" t="str">
        <f t="shared" si="0"/>
        <v/>
      </c>
      <c r="F8" s="19" t="str">
        <f t="shared" si="0"/>
        <v/>
      </c>
      <c r="G8" s="19" t="str">
        <f t="shared" si="0"/>
        <v/>
      </c>
      <c r="H8" s="19" t="str">
        <f t="shared" si="0"/>
        <v/>
      </c>
      <c r="I8" s="19" t="str">
        <f t="shared" si="0"/>
        <v/>
      </c>
      <c r="J8" s="19" t="str">
        <f t="shared" si="0"/>
        <v/>
      </c>
      <c r="K8" s="19" t="str">
        <f t="shared" si="0"/>
        <v/>
      </c>
      <c r="L8" s="19" t="str">
        <f t="shared" si="0"/>
        <v/>
      </c>
      <c r="M8" s="19" t="str">
        <f t="shared" si="0"/>
        <v/>
      </c>
      <c r="N8" s="19" t="str">
        <f t="shared" si="0"/>
        <v/>
      </c>
      <c r="O8" s="19" t="str">
        <f t="shared" si="0"/>
        <v/>
      </c>
      <c r="P8" s="19" t="str">
        <f t="shared" si="0"/>
        <v/>
      </c>
      <c r="Q8" s="19" t="str">
        <f t="shared" si="0"/>
        <v/>
      </c>
      <c r="R8" s="19" t="str">
        <f t="shared" si="0"/>
        <v/>
      </c>
      <c r="S8" s="19" t="str">
        <f t="shared" si="0"/>
        <v/>
      </c>
      <c r="T8" s="19" t="str">
        <f t="shared" si="0"/>
        <v/>
      </c>
      <c r="U8" s="19" t="str">
        <f t="shared" si="0"/>
        <v/>
      </c>
      <c r="V8" s="19" t="str">
        <f t="shared" si="0"/>
        <v/>
      </c>
      <c r="W8" s="19" t="str">
        <f t="shared" si="0"/>
        <v/>
      </c>
      <c r="X8" s="19" t="str">
        <f t="shared" si="0"/>
        <v/>
      </c>
      <c r="Y8" s="19" t="str">
        <f t="shared" si="0"/>
        <v/>
      </c>
      <c r="Z8" s="19" t="str">
        <f t="shared" si="0"/>
        <v/>
      </c>
      <c r="AA8" s="19" t="str">
        <f t="shared" si="0"/>
        <v/>
      </c>
      <c r="AB8" s="19" t="str">
        <f t="shared" si="0"/>
        <v/>
      </c>
      <c r="AC8" s="19" t="str">
        <f t="shared" si="0"/>
        <v/>
      </c>
      <c r="AD8" s="19" t="str">
        <f t="shared" si="0"/>
        <v/>
      </c>
      <c r="AE8" s="19" t="str">
        <f t="shared" si="0"/>
        <v/>
      </c>
      <c r="AF8" s="19" t="str">
        <f t="shared" si="0"/>
        <v/>
      </c>
      <c r="AG8" s="19" t="str">
        <f t="shared" si="0"/>
        <v/>
      </c>
      <c r="AH8" s="19" t="str">
        <f t="shared" si="0"/>
        <v/>
      </c>
      <c r="AI8" s="19" t="str">
        <f t="shared" si="0"/>
        <v/>
      </c>
      <c r="AJ8" s="19" t="str">
        <f t="shared" ref="AJ8:AM8" si="2">IFERROR(VLOOKUP($A8,$A$26:$AM$45,(AJ$1+1),0),"")</f>
        <v/>
      </c>
      <c r="AK8" s="19" t="str">
        <f t="shared" si="2"/>
        <v/>
      </c>
      <c r="AL8" s="19" t="str">
        <f t="shared" si="2"/>
        <v/>
      </c>
      <c r="AM8" s="19" t="str">
        <f t="shared" si="2"/>
        <v/>
      </c>
    </row>
    <row r="9" spans="1:39" ht="15.75" customHeight="1" thickBot="1">
      <c r="A9" s="28" t="s">
        <v>40</v>
      </c>
      <c r="B9" s="19" t="str">
        <f t="shared" si="1"/>
        <v/>
      </c>
      <c r="C9" s="19" t="str">
        <f t="shared" si="1"/>
        <v/>
      </c>
      <c r="D9" s="19" t="str">
        <f t="shared" si="1"/>
        <v/>
      </c>
      <c r="E9" s="19" t="str">
        <f t="shared" si="1"/>
        <v/>
      </c>
      <c r="F9" s="19" t="str">
        <f t="shared" si="1"/>
        <v/>
      </c>
      <c r="G9" s="19" t="str">
        <f t="shared" si="1"/>
        <v/>
      </c>
      <c r="H9" s="19" t="str">
        <f t="shared" si="1"/>
        <v/>
      </c>
      <c r="I9" s="19" t="str">
        <f t="shared" si="1"/>
        <v/>
      </c>
      <c r="J9" s="19" t="str">
        <f t="shared" si="1"/>
        <v/>
      </c>
      <c r="K9" s="19" t="str">
        <f t="shared" si="1"/>
        <v/>
      </c>
      <c r="L9" s="19" t="str">
        <f t="shared" si="1"/>
        <v/>
      </c>
      <c r="M9" s="19" t="str">
        <f t="shared" si="1"/>
        <v/>
      </c>
      <c r="N9" s="19" t="str">
        <f t="shared" si="1"/>
        <v/>
      </c>
      <c r="O9" s="19" t="str">
        <f t="shared" si="1"/>
        <v/>
      </c>
      <c r="P9" s="19" t="str">
        <f t="shared" si="1"/>
        <v/>
      </c>
      <c r="Q9" s="19" t="str">
        <f t="shared" si="1"/>
        <v/>
      </c>
      <c r="R9" s="19" t="str">
        <f t="shared" ref="R9:AG21" si="3">IFERROR(VLOOKUP($A9,$A$26:$AM$45,(R$1+1),0),"")</f>
        <v/>
      </c>
      <c r="S9" s="19" t="str">
        <f t="shared" si="3"/>
        <v/>
      </c>
      <c r="T9" s="19" t="str">
        <f t="shared" si="3"/>
        <v/>
      </c>
      <c r="U9" s="19" t="str">
        <f t="shared" si="3"/>
        <v/>
      </c>
      <c r="V9" s="19" t="str">
        <f t="shared" si="3"/>
        <v/>
      </c>
      <c r="W9" s="19" t="str">
        <f t="shared" si="3"/>
        <v/>
      </c>
      <c r="X9" s="19" t="str">
        <f t="shared" si="3"/>
        <v/>
      </c>
      <c r="Y9" s="19" t="str">
        <f t="shared" si="3"/>
        <v/>
      </c>
      <c r="Z9" s="19" t="str">
        <f t="shared" si="3"/>
        <v/>
      </c>
      <c r="AA9" s="19" t="str">
        <f t="shared" si="3"/>
        <v/>
      </c>
      <c r="AB9" s="19" t="str">
        <f t="shared" si="3"/>
        <v/>
      </c>
      <c r="AC9" s="19" t="str">
        <f t="shared" si="3"/>
        <v/>
      </c>
      <c r="AD9" s="19" t="str">
        <f t="shared" si="3"/>
        <v/>
      </c>
      <c r="AE9" s="19" t="str">
        <f t="shared" si="3"/>
        <v/>
      </c>
      <c r="AF9" s="19" t="str">
        <f t="shared" si="3"/>
        <v/>
      </c>
      <c r="AG9" s="19" t="str">
        <f t="shared" si="3"/>
        <v/>
      </c>
      <c r="AH9" s="19" t="str">
        <f t="shared" ref="AH9:AM21" si="4">IFERROR(VLOOKUP($A9,$A$26:$AM$45,(AH$1+1),0),"")</f>
        <v/>
      </c>
      <c r="AI9" s="19" t="str">
        <f t="shared" si="4"/>
        <v/>
      </c>
      <c r="AJ9" s="19" t="str">
        <f t="shared" si="4"/>
        <v/>
      </c>
      <c r="AK9" s="19" t="str">
        <f t="shared" si="4"/>
        <v/>
      </c>
      <c r="AL9" s="19" t="str">
        <f t="shared" si="4"/>
        <v/>
      </c>
      <c r="AM9" s="19" t="str">
        <f t="shared" si="4"/>
        <v/>
      </c>
    </row>
    <row r="10" spans="1:39" ht="15.75" customHeight="1" thickBot="1">
      <c r="A10" s="28" t="s">
        <v>40</v>
      </c>
      <c r="B10" s="19" t="str">
        <f t="shared" si="1"/>
        <v/>
      </c>
      <c r="C10" s="19" t="str">
        <f t="shared" si="1"/>
        <v/>
      </c>
      <c r="D10" s="19" t="str">
        <f t="shared" si="1"/>
        <v/>
      </c>
      <c r="E10" s="19" t="str">
        <f t="shared" si="1"/>
        <v/>
      </c>
      <c r="F10" s="19" t="str">
        <f t="shared" si="1"/>
        <v/>
      </c>
      <c r="G10" s="19" t="str">
        <f t="shared" si="1"/>
        <v/>
      </c>
      <c r="H10" s="19" t="str">
        <f t="shared" si="1"/>
        <v/>
      </c>
      <c r="I10" s="19" t="str">
        <f t="shared" si="1"/>
        <v/>
      </c>
      <c r="J10" s="19" t="str">
        <f t="shared" si="1"/>
        <v/>
      </c>
      <c r="K10" s="19" t="str">
        <f t="shared" si="1"/>
        <v/>
      </c>
      <c r="L10" s="19" t="str">
        <f t="shared" si="1"/>
        <v/>
      </c>
      <c r="M10" s="19" t="str">
        <f t="shared" si="1"/>
        <v/>
      </c>
      <c r="N10" s="19" t="str">
        <f t="shared" si="1"/>
        <v/>
      </c>
      <c r="O10" s="19" t="str">
        <f t="shared" si="1"/>
        <v/>
      </c>
      <c r="P10" s="19" t="str">
        <f t="shared" si="1"/>
        <v/>
      </c>
      <c r="Q10" s="19" t="str">
        <f t="shared" si="1"/>
        <v/>
      </c>
      <c r="R10" s="19" t="str">
        <f t="shared" si="3"/>
        <v/>
      </c>
      <c r="S10" s="19" t="str">
        <f t="shared" si="3"/>
        <v/>
      </c>
      <c r="T10" s="19" t="str">
        <f t="shared" si="3"/>
        <v/>
      </c>
      <c r="U10" s="19" t="str">
        <f t="shared" si="3"/>
        <v/>
      </c>
      <c r="V10" s="19" t="str">
        <f t="shared" si="3"/>
        <v/>
      </c>
      <c r="W10" s="19" t="str">
        <f t="shared" si="3"/>
        <v/>
      </c>
      <c r="X10" s="19" t="str">
        <f t="shared" si="3"/>
        <v/>
      </c>
      <c r="Y10" s="19" t="str">
        <f t="shared" si="3"/>
        <v/>
      </c>
      <c r="Z10" s="19" t="str">
        <f t="shared" si="3"/>
        <v/>
      </c>
      <c r="AA10" s="19" t="str">
        <f t="shared" si="3"/>
        <v/>
      </c>
      <c r="AB10" s="19" t="str">
        <f t="shared" si="3"/>
        <v/>
      </c>
      <c r="AC10" s="19" t="str">
        <f t="shared" si="3"/>
        <v/>
      </c>
      <c r="AD10" s="19" t="str">
        <f t="shared" si="3"/>
        <v/>
      </c>
      <c r="AE10" s="19" t="str">
        <f t="shared" si="3"/>
        <v/>
      </c>
      <c r="AF10" s="19" t="str">
        <f t="shared" si="3"/>
        <v/>
      </c>
      <c r="AG10" s="19" t="str">
        <f t="shared" si="3"/>
        <v/>
      </c>
      <c r="AH10" s="19" t="str">
        <f t="shared" si="4"/>
        <v/>
      </c>
      <c r="AI10" s="19" t="str">
        <f t="shared" si="4"/>
        <v/>
      </c>
      <c r="AJ10" s="19" t="str">
        <f t="shared" si="4"/>
        <v/>
      </c>
      <c r="AK10" s="19" t="str">
        <f t="shared" si="4"/>
        <v/>
      </c>
      <c r="AL10" s="19" t="str">
        <f t="shared" si="4"/>
        <v/>
      </c>
      <c r="AM10" s="19" t="str">
        <f t="shared" si="4"/>
        <v/>
      </c>
    </row>
    <row r="11" spans="1:39" ht="15.75" customHeight="1" thickBot="1">
      <c r="A11" s="28" t="s">
        <v>40</v>
      </c>
      <c r="B11" s="19" t="str">
        <f t="shared" si="1"/>
        <v/>
      </c>
      <c r="C11" s="19" t="str">
        <f t="shared" si="1"/>
        <v/>
      </c>
      <c r="D11" s="19" t="str">
        <f t="shared" si="1"/>
        <v/>
      </c>
      <c r="E11" s="19" t="str">
        <f t="shared" si="1"/>
        <v/>
      </c>
      <c r="F11" s="19" t="str">
        <f t="shared" si="1"/>
        <v/>
      </c>
      <c r="G11" s="19" t="str">
        <f t="shared" si="1"/>
        <v/>
      </c>
      <c r="H11" s="19" t="str">
        <f t="shared" si="1"/>
        <v/>
      </c>
      <c r="I11" s="19" t="str">
        <f t="shared" si="1"/>
        <v/>
      </c>
      <c r="J11" s="19" t="str">
        <f t="shared" si="1"/>
        <v/>
      </c>
      <c r="K11" s="19" t="str">
        <f t="shared" si="1"/>
        <v/>
      </c>
      <c r="L11" s="19" t="str">
        <f t="shared" si="1"/>
        <v/>
      </c>
      <c r="M11" s="19" t="str">
        <f t="shared" si="1"/>
        <v/>
      </c>
      <c r="N11" s="19" t="str">
        <f t="shared" si="1"/>
        <v/>
      </c>
      <c r="O11" s="19" t="str">
        <f t="shared" si="1"/>
        <v/>
      </c>
      <c r="P11" s="19" t="str">
        <f t="shared" si="1"/>
        <v/>
      </c>
      <c r="Q11" s="19" t="str">
        <f t="shared" si="1"/>
        <v/>
      </c>
      <c r="R11" s="19" t="str">
        <f t="shared" si="3"/>
        <v/>
      </c>
      <c r="S11" s="19" t="str">
        <f t="shared" si="3"/>
        <v/>
      </c>
      <c r="T11" s="19" t="str">
        <f t="shared" si="3"/>
        <v/>
      </c>
      <c r="U11" s="19" t="str">
        <f t="shared" si="3"/>
        <v/>
      </c>
      <c r="V11" s="19" t="str">
        <f t="shared" si="3"/>
        <v/>
      </c>
      <c r="W11" s="19" t="str">
        <f t="shared" si="3"/>
        <v/>
      </c>
      <c r="X11" s="19" t="str">
        <f t="shared" si="3"/>
        <v/>
      </c>
      <c r="Y11" s="19" t="str">
        <f t="shared" si="3"/>
        <v/>
      </c>
      <c r="Z11" s="19" t="str">
        <f t="shared" si="3"/>
        <v/>
      </c>
      <c r="AA11" s="19" t="str">
        <f t="shared" si="3"/>
        <v/>
      </c>
      <c r="AB11" s="19" t="str">
        <f t="shared" si="3"/>
        <v/>
      </c>
      <c r="AC11" s="19" t="str">
        <f t="shared" si="3"/>
        <v/>
      </c>
      <c r="AD11" s="19" t="str">
        <f t="shared" si="3"/>
        <v/>
      </c>
      <c r="AE11" s="19" t="str">
        <f t="shared" si="3"/>
        <v/>
      </c>
      <c r="AF11" s="19" t="str">
        <f t="shared" si="3"/>
        <v/>
      </c>
      <c r="AG11" s="19" t="str">
        <f t="shared" si="3"/>
        <v/>
      </c>
      <c r="AH11" s="19" t="str">
        <f t="shared" si="4"/>
        <v/>
      </c>
      <c r="AI11" s="19" t="str">
        <f t="shared" si="4"/>
        <v/>
      </c>
      <c r="AJ11" s="19" t="str">
        <f t="shared" si="4"/>
        <v/>
      </c>
      <c r="AK11" s="19" t="str">
        <f t="shared" si="4"/>
        <v/>
      </c>
      <c r="AL11" s="19" t="str">
        <f t="shared" si="4"/>
        <v/>
      </c>
      <c r="AM11" s="19" t="str">
        <f t="shared" si="4"/>
        <v/>
      </c>
    </row>
    <row r="12" spans="1:39" ht="15.75" customHeight="1" thickBot="1">
      <c r="A12" s="28" t="s">
        <v>40</v>
      </c>
      <c r="B12" s="19" t="str">
        <f t="shared" si="1"/>
        <v/>
      </c>
      <c r="C12" s="19" t="str">
        <f t="shared" si="1"/>
        <v/>
      </c>
      <c r="D12" s="19" t="str">
        <f t="shared" si="1"/>
        <v/>
      </c>
      <c r="E12" s="19" t="str">
        <f t="shared" si="1"/>
        <v/>
      </c>
      <c r="F12" s="19" t="str">
        <f t="shared" si="1"/>
        <v/>
      </c>
      <c r="G12" s="19" t="str">
        <f t="shared" si="1"/>
        <v/>
      </c>
      <c r="H12" s="19" t="str">
        <f t="shared" si="1"/>
        <v/>
      </c>
      <c r="I12" s="19" t="str">
        <f t="shared" si="1"/>
        <v/>
      </c>
      <c r="J12" s="19" t="str">
        <f t="shared" si="1"/>
        <v/>
      </c>
      <c r="K12" s="19" t="str">
        <f t="shared" si="1"/>
        <v/>
      </c>
      <c r="L12" s="19" t="str">
        <f t="shared" si="1"/>
        <v/>
      </c>
      <c r="M12" s="19" t="str">
        <f t="shared" si="1"/>
        <v/>
      </c>
      <c r="N12" s="19" t="str">
        <f t="shared" si="1"/>
        <v/>
      </c>
      <c r="O12" s="19" t="str">
        <f t="shared" si="1"/>
        <v/>
      </c>
      <c r="P12" s="19" t="str">
        <f t="shared" si="1"/>
        <v/>
      </c>
      <c r="Q12" s="19" t="str">
        <f t="shared" si="1"/>
        <v/>
      </c>
      <c r="R12" s="19" t="str">
        <f t="shared" si="3"/>
        <v/>
      </c>
      <c r="S12" s="19" t="str">
        <f t="shared" si="3"/>
        <v/>
      </c>
      <c r="T12" s="19" t="str">
        <f t="shared" si="3"/>
        <v/>
      </c>
      <c r="U12" s="19" t="str">
        <f t="shared" si="3"/>
        <v/>
      </c>
      <c r="V12" s="19" t="str">
        <f t="shared" si="3"/>
        <v/>
      </c>
      <c r="W12" s="19" t="str">
        <f t="shared" si="3"/>
        <v/>
      </c>
      <c r="X12" s="19" t="str">
        <f t="shared" si="3"/>
        <v/>
      </c>
      <c r="Y12" s="19" t="str">
        <f t="shared" si="3"/>
        <v/>
      </c>
      <c r="Z12" s="19" t="str">
        <f t="shared" si="3"/>
        <v/>
      </c>
      <c r="AA12" s="19" t="str">
        <f t="shared" si="3"/>
        <v/>
      </c>
      <c r="AB12" s="19" t="str">
        <f t="shared" si="3"/>
        <v/>
      </c>
      <c r="AC12" s="19" t="str">
        <f t="shared" si="3"/>
        <v/>
      </c>
      <c r="AD12" s="19" t="str">
        <f t="shared" si="3"/>
        <v/>
      </c>
      <c r="AE12" s="19" t="str">
        <f t="shared" si="3"/>
        <v/>
      </c>
      <c r="AF12" s="19" t="str">
        <f t="shared" si="3"/>
        <v/>
      </c>
      <c r="AG12" s="19" t="str">
        <f t="shared" si="3"/>
        <v/>
      </c>
      <c r="AH12" s="19" t="str">
        <f t="shared" si="4"/>
        <v/>
      </c>
      <c r="AI12" s="19" t="str">
        <f t="shared" si="4"/>
        <v/>
      </c>
      <c r="AJ12" s="19" t="str">
        <f t="shared" si="4"/>
        <v/>
      </c>
      <c r="AK12" s="19" t="str">
        <f t="shared" si="4"/>
        <v/>
      </c>
      <c r="AL12" s="19" t="str">
        <f t="shared" si="4"/>
        <v/>
      </c>
      <c r="AM12" s="19" t="str">
        <f t="shared" si="4"/>
        <v/>
      </c>
    </row>
    <row r="13" spans="1:39" ht="15.75" customHeight="1" thickBot="1">
      <c r="A13" s="28" t="s">
        <v>40</v>
      </c>
      <c r="B13" s="19" t="str">
        <f t="shared" si="1"/>
        <v/>
      </c>
      <c r="C13" s="19" t="str">
        <f t="shared" si="1"/>
        <v/>
      </c>
      <c r="D13" s="19" t="str">
        <f t="shared" si="1"/>
        <v/>
      </c>
      <c r="E13" s="19" t="str">
        <f t="shared" si="1"/>
        <v/>
      </c>
      <c r="F13" s="19" t="str">
        <f t="shared" si="1"/>
        <v/>
      </c>
      <c r="G13" s="19" t="str">
        <f t="shared" si="1"/>
        <v/>
      </c>
      <c r="H13" s="19" t="str">
        <f t="shared" si="1"/>
        <v/>
      </c>
      <c r="I13" s="19" t="str">
        <f t="shared" si="1"/>
        <v/>
      </c>
      <c r="J13" s="19" t="str">
        <f t="shared" si="1"/>
        <v/>
      </c>
      <c r="K13" s="19" t="str">
        <f t="shared" si="1"/>
        <v/>
      </c>
      <c r="L13" s="19" t="str">
        <f t="shared" si="1"/>
        <v/>
      </c>
      <c r="M13" s="19" t="str">
        <f t="shared" si="1"/>
        <v/>
      </c>
      <c r="N13" s="19" t="str">
        <f t="shared" si="1"/>
        <v/>
      </c>
      <c r="O13" s="19" t="str">
        <f t="shared" si="1"/>
        <v/>
      </c>
      <c r="P13" s="19" t="str">
        <f t="shared" si="1"/>
        <v/>
      </c>
      <c r="Q13" s="19" t="str">
        <f t="shared" si="1"/>
        <v/>
      </c>
      <c r="R13" s="19" t="str">
        <f t="shared" si="3"/>
        <v/>
      </c>
      <c r="S13" s="19" t="str">
        <f t="shared" si="3"/>
        <v/>
      </c>
      <c r="T13" s="19" t="str">
        <f t="shared" si="3"/>
        <v/>
      </c>
      <c r="U13" s="19" t="str">
        <f t="shared" si="3"/>
        <v/>
      </c>
      <c r="V13" s="19" t="str">
        <f t="shared" si="3"/>
        <v/>
      </c>
      <c r="W13" s="19" t="str">
        <f t="shared" si="3"/>
        <v/>
      </c>
      <c r="X13" s="19" t="str">
        <f t="shared" si="3"/>
        <v/>
      </c>
      <c r="Y13" s="19" t="str">
        <f t="shared" si="3"/>
        <v/>
      </c>
      <c r="Z13" s="19" t="str">
        <f t="shared" si="3"/>
        <v/>
      </c>
      <c r="AA13" s="19" t="str">
        <f t="shared" si="3"/>
        <v/>
      </c>
      <c r="AB13" s="19" t="str">
        <f t="shared" si="3"/>
        <v/>
      </c>
      <c r="AC13" s="19" t="str">
        <f t="shared" si="3"/>
        <v/>
      </c>
      <c r="AD13" s="19" t="str">
        <f t="shared" si="3"/>
        <v/>
      </c>
      <c r="AE13" s="19" t="str">
        <f t="shared" si="3"/>
        <v/>
      </c>
      <c r="AF13" s="19" t="str">
        <f t="shared" si="3"/>
        <v/>
      </c>
      <c r="AG13" s="19" t="str">
        <f t="shared" si="3"/>
        <v/>
      </c>
      <c r="AH13" s="19" t="str">
        <f t="shared" si="4"/>
        <v/>
      </c>
      <c r="AI13" s="19" t="str">
        <f t="shared" si="4"/>
        <v/>
      </c>
      <c r="AJ13" s="19" t="str">
        <f t="shared" si="4"/>
        <v/>
      </c>
      <c r="AK13" s="19" t="str">
        <f t="shared" si="4"/>
        <v/>
      </c>
      <c r="AL13" s="19" t="str">
        <f t="shared" si="4"/>
        <v/>
      </c>
      <c r="AM13" s="19" t="str">
        <f t="shared" si="4"/>
        <v/>
      </c>
    </row>
    <row r="14" spans="1:39" ht="15.75" customHeight="1" thickBot="1">
      <c r="A14" s="28" t="s">
        <v>40</v>
      </c>
      <c r="B14" s="19" t="str">
        <f t="shared" si="1"/>
        <v/>
      </c>
      <c r="C14" s="19" t="str">
        <f t="shared" si="1"/>
        <v/>
      </c>
      <c r="D14" s="19" t="str">
        <f t="shared" si="1"/>
        <v/>
      </c>
      <c r="E14" s="19" t="str">
        <f t="shared" si="1"/>
        <v/>
      </c>
      <c r="F14" s="19" t="str">
        <f t="shared" si="1"/>
        <v/>
      </c>
      <c r="G14" s="19" t="str">
        <f t="shared" si="1"/>
        <v/>
      </c>
      <c r="H14" s="19" t="str">
        <f t="shared" si="1"/>
        <v/>
      </c>
      <c r="I14" s="19" t="str">
        <f t="shared" si="1"/>
        <v/>
      </c>
      <c r="J14" s="19" t="str">
        <f t="shared" si="1"/>
        <v/>
      </c>
      <c r="K14" s="19" t="str">
        <f t="shared" si="1"/>
        <v/>
      </c>
      <c r="L14" s="19" t="str">
        <f t="shared" si="1"/>
        <v/>
      </c>
      <c r="M14" s="19" t="str">
        <f t="shared" si="1"/>
        <v/>
      </c>
      <c r="N14" s="19" t="str">
        <f t="shared" si="1"/>
        <v/>
      </c>
      <c r="O14" s="19" t="str">
        <f t="shared" si="1"/>
        <v/>
      </c>
      <c r="P14" s="19" t="str">
        <f t="shared" si="1"/>
        <v/>
      </c>
      <c r="Q14" s="19" t="str">
        <f t="shared" si="1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  <c r="AE14" s="19" t="str">
        <f t="shared" si="3"/>
        <v/>
      </c>
      <c r="AF14" s="19" t="str">
        <f t="shared" si="3"/>
        <v/>
      </c>
      <c r="AG14" s="19" t="str">
        <f t="shared" si="3"/>
        <v/>
      </c>
      <c r="AH14" s="19" t="str">
        <f t="shared" si="4"/>
        <v/>
      </c>
      <c r="AI14" s="19" t="str">
        <f t="shared" si="4"/>
        <v/>
      </c>
      <c r="AJ14" s="19" t="str">
        <f t="shared" si="4"/>
        <v/>
      </c>
      <c r="AK14" s="19" t="str">
        <f t="shared" si="4"/>
        <v/>
      </c>
      <c r="AL14" s="19" t="str">
        <f t="shared" si="4"/>
        <v/>
      </c>
      <c r="AM14" s="19" t="str">
        <f t="shared" si="4"/>
        <v/>
      </c>
    </row>
    <row r="15" spans="1:39" ht="15.75" customHeight="1" thickBot="1">
      <c r="A15" s="28" t="s">
        <v>40</v>
      </c>
      <c r="B15" s="19" t="str">
        <f t="shared" si="1"/>
        <v/>
      </c>
      <c r="C15" s="19" t="str">
        <f t="shared" si="1"/>
        <v/>
      </c>
      <c r="D15" s="19" t="str">
        <f t="shared" si="1"/>
        <v/>
      </c>
      <c r="E15" s="19" t="str">
        <f t="shared" si="1"/>
        <v/>
      </c>
      <c r="F15" s="19" t="str">
        <f t="shared" si="1"/>
        <v/>
      </c>
      <c r="G15" s="19" t="str">
        <f t="shared" si="1"/>
        <v/>
      </c>
      <c r="H15" s="19" t="str">
        <f t="shared" si="1"/>
        <v/>
      </c>
      <c r="I15" s="19" t="str">
        <f t="shared" si="1"/>
        <v/>
      </c>
      <c r="J15" s="19" t="str">
        <f t="shared" si="1"/>
        <v/>
      </c>
      <c r="K15" s="19" t="str">
        <f t="shared" si="1"/>
        <v/>
      </c>
      <c r="L15" s="19" t="str">
        <f t="shared" si="1"/>
        <v/>
      </c>
      <c r="M15" s="19" t="str">
        <f t="shared" si="1"/>
        <v/>
      </c>
      <c r="N15" s="19" t="str">
        <f t="shared" si="1"/>
        <v/>
      </c>
      <c r="O15" s="19" t="str">
        <f t="shared" si="1"/>
        <v/>
      </c>
      <c r="P15" s="19" t="str">
        <f t="shared" si="1"/>
        <v/>
      </c>
      <c r="Q15" s="19" t="str">
        <f t="shared" si="1"/>
        <v/>
      </c>
      <c r="R15" s="19" t="str">
        <f t="shared" si="3"/>
        <v/>
      </c>
      <c r="S15" s="19" t="str">
        <f t="shared" si="3"/>
        <v/>
      </c>
      <c r="T15" s="19" t="str">
        <f t="shared" si="3"/>
        <v/>
      </c>
      <c r="U15" s="19" t="str">
        <f t="shared" si="3"/>
        <v/>
      </c>
      <c r="V15" s="19" t="str">
        <f t="shared" si="3"/>
        <v/>
      </c>
      <c r="W15" s="19" t="str">
        <f t="shared" si="3"/>
        <v/>
      </c>
      <c r="X15" s="19" t="str">
        <f t="shared" si="3"/>
        <v/>
      </c>
      <c r="Y15" s="19" t="str">
        <f t="shared" si="3"/>
        <v/>
      </c>
      <c r="Z15" s="19" t="str">
        <f t="shared" si="3"/>
        <v/>
      </c>
      <c r="AA15" s="19" t="str">
        <f t="shared" si="3"/>
        <v/>
      </c>
      <c r="AB15" s="19" t="str">
        <f t="shared" si="3"/>
        <v/>
      </c>
      <c r="AC15" s="19" t="str">
        <f t="shared" si="3"/>
        <v/>
      </c>
      <c r="AD15" s="19" t="str">
        <f t="shared" si="3"/>
        <v/>
      </c>
      <c r="AE15" s="19" t="str">
        <f t="shared" si="3"/>
        <v/>
      </c>
      <c r="AF15" s="19" t="str">
        <f t="shared" si="3"/>
        <v/>
      </c>
      <c r="AG15" s="19" t="str">
        <f t="shared" si="3"/>
        <v/>
      </c>
      <c r="AH15" s="19" t="str">
        <f t="shared" si="4"/>
        <v/>
      </c>
      <c r="AI15" s="19" t="str">
        <f t="shared" si="4"/>
        <v/>
      </c>
      <c r="AJ15" s="19" t="str">
        <f t="shared" si="4"/>
        <v/>
      </c>
      <c r="AK15" s="19" t="str">
        <f t="shared" si="4"/>
        <v/>
      </c>
      <c r="AL15" s="19" t="str">
        <f t="shared" si="4"/>
        <v/>
      </c>
      <c r="AM15" s="19" t="str">
        <f t="shared" si="4"/>
        <v/>
      </c>
    </row>
    <row r="16" spans="1:39" ht="15.75" customHeight="1" thickBot="1">
      <c r="A16" s="28" t="s">
        <v>40</v>
      </c>
      <c r="B16" s="19" t="str">
        <f t="shared" si="1"/>
        <v/>
      </c>
      <c r="C16" s="19" t="str">
        <f t="shared" si="1"/>
        <v/>
      </c>
      <c r="D16" s="19" t="str">
        <f t="shared" si="1"/>
        <v/>
      </c>
      <c r="E16" s="19" t="str">
        <f t="shared" si="1"/>
        <v/>
      </c>
      <c r="F16" s="19" t="str">
        <f t="shared" si="1"/>
        <v/>
      </c>
      <c r="G16" s="19" t="str">
        <f t="shared" si="1"/>
        <v/>
      </c>
      <c r="H16" s="19" t="str">
        <f t="shared" si="1"/>
        <v/>
      </c>
      <c r="I16" s="19" t="str">
        <f t="shared" si="1"/>
        <v/>
      </c>
      <c r="J16" s="19" t="str">
        <f t="shared" si="1"/>
        <v/>
      </c>
      <c r="K16" s="19" t="str">
        <f t="shared" si="1"/>
        <v/>
      </c>
      <c r="L16" s="19" t="str">
        <f t="shared" si="1"/>
        <v/>
      </c>
      <c r="M16" s="19" t="str">
        <f t="shared" si="1"/>
        <v/>
      </c>
      <c r="N16" s="19" t="str">
        <f t="shared" si="1"/>
        <v/>
      </c>
      <c r="O16" s="19" t="str">
        <f t="shared" si="1"/>
        <v/>
      </c>
      <c r="P16" s="19" t="str">
        <f t="shared" si="1"/>
        <v/>
      </c>
      <c r="Q16" s="19" t="str">
        <f t="shared" si="1"/>
        <v/>
      </c>
      <c r="R16" s="19" t="str">
        <f t="shared" si="3"/>
        <v/>
      </c>
      <c r="S16" s="19" t="str">
        <f t="shared" si="3"/>
        <v/>
      </c>
      <c r="T16" s="19" t="str">
        <f t="shared" si="3"/>
        <v/>
      </c>
      <c r="U16" s="19" t="str">
        <f t="shared" si="3"/>
        <v/>
      </c>
      <c r="V16" s="19" t="str">
        <f t="shared" si="3"/>
        <v/>
      </c>
      <c r="W16" s="19" t="str">
        <f t="shared" si="3"/>
        <v/>
      </c>
      <c r="X16" s="19" t="str">
        <f t="shared" si="3"/>
        <v/>
      </c>
      <c r="Y16" s="19" t="str">
        <f t="shared" si="3"/>
        <v/>
      </c>
      <c r="Z16" s="19" t="str">
        <f t="shared" si="3"/>
        <v/>
      </c>
      <c r="AA16" s="19" t="str">
        <f t="shared" si="3"/>
        <v/>
      </c>
      <c r="AB16" s="19" t="str">
        <f t="shared" si="3"/>
        <v/>
      </c>
      <c r="AC16" s="19" t="str">
        <f t="shared" si="3"/>
        <v/>
      </c>
      <c r="AD16" s="19" t="str">
        <f t="shared" si="3"/>
        <v/>
      </c>
      <c r="AE16" s="19" t="str">
        <f t="shared" si="3"/>
        <v/>
      </c>
      <c r="AF16" s="19" t="str">
        <f t="shared" si="3"/>
        <v/>
      </c>
      <c r="AG16" s="19" t="str">
        <f t="shared" si="3"/>
        <v/>
      </c>
      <c r="AH16" s="19" t="str">
        <f t="shared" si="4"/>
        <v/>
      </c>
      <c r="AI16" s="19" t="str">
        <f t="shared" si="4"/>
        <v/>
      </c>
      <c r="AJ16" s="19" t="str">
        <f t="shared" si="4"/>
        <v/>
      </c>
      <c r="AK16" s="19" t="str">
        <f t="shared" si="4"/>
        <v/>
      </c>
      <c r="AL16" s="19" t="str">
        <f t="shared" si="4"/>
        <v/>
      </c>
      <c r="AM16" s="19" t="str">
        <f t="shared" si="4"/>
        <v/>
      </c>
    </row>
    <row r="17" spans="1:39" ht="15.75" customHeight="1" thickBot="1">
      <c r="A17" s="28" t="s">
        <v>40</v>
      </c>
      <c r="B17" s="19" t="str">
        <f t="shared" si="1"/>
        <v/>
      </c>
      <c r="C17" s="19" t="str">
        <f t="shared" si="1"/>
        <v/>
      </c>
      <c r="D17" s="19" t="str">
        <f t="shared" si="1"/>
        <v/>
      </c>
      <c r="E17" s="19" t="str">
        <f t="shared" si="1"/>
        <v/>
      </c>
      <c r="F17" s="19" t="str">
        <f t="shared" si="1"/>
        <v/>
      </c>
      <c r="G17" s="19" t="str">
        <f t="shared" si="1"/>
        <v/>
      </c>
      <c r="H17" s="19" t="str">
        <f t="shared" si="1"/>
        <v/>
      </c>
      <c r="I17" s="19" t="str">
        <f t="shared" si="1"/>
        <v/>
      </c>
      <c r="J17" s="19" t="str">
        <f t="shared" si="1"/>
        <v/>
      </c>
      <c r="K17" s="19" t="str">
        <f t="shared" si="1"/>
        <v/>
      </c>
      <c r="L17" s="19" t="str">
        <f t="shared" si="1"/>
        <v/>
      </c>
      <c r="M17" s="19" t="str">
        <f t="shared" si="1"/>
        <v/>
      </c>
      <c r="N17" s="19" t="str">
        <f t="shared" si="1"/>
        <v/>
      </c>
      <c r="O17" s="19" t="str">
        <f t="shared" si="1"/>
        <v/>
      </c>
      <c r="P17" s="19" t="str">
        <f t="shared" si="1"/>
        <v/>
      </c>
      <c r="Q17" s="19" t="str">
        <f t="shared" si="1"/>
        <v/>
      </c>
      <c r="R17" s="19" t="str">
        <f t="shared" si="3"/>
        <v/>
      </c>
      <c r="S17" s="19" t="str">
        <f t="shared" si="3"/>
        <v/>
      </c>
      <c r="T17" s="19" t="str">
        <f t="shared" si="3"/>
        <v/>
      </c>
      <c r="U17" s="19" t="str">
        <f t="shared" si="3"/>
        <v/>
      </c>
      <c r="V17" s="19" t="str">
        <f t="shared" si="3"/>
        <v/>
      </c>
      <c r="W17" s="19" t="str">
        <f t="shared" si="3"/>
        <v/>
      </c>
      <c r="X17" s="19" t="str">
        <f t="shared" si="3"/>
        <v/>
      </c>
      <c r="Y17" s="19" t="str">
        <f t="shared" si="3"/>
        <v/>
      </c>
      <c r="Z17" s="19" t="str">
        <f t="shared" si="3"/>
        <v/>
      </c>
      <c r="AA17" s="19" t="str">
        <f t="shared" si="3"/>
        <v/>
      </c>
      <c r="AB17" s="19" t="str">
        <f t="shared" si="3"/>
        <v/>
      </c>
      <c r="AC17" s="19" t="str">
        <f t="shared" si="3"/>
        <v/>
      </c>
      <c r="AD17" s="19" t="str">
        <f t="shared" si="3"/>
        <v/>
      </c>
      <c r="AE17" s="19" t="str">
        <f t="shared" si="3"/>
        <v/>
      </c>
      <c r="AF17" s="19" t="str">
        <f t="shared" si="3"/>
        <v/>
      </c>
      <c r="AG17" s="19" t="str">
        <f t="shared" si="3"/>
        <v/>
      </c>
      <c r="AH17" s="19" t="str">
        <f t="shared" si="4"/>
        <v/>
      </c>
      <c r="AI17" s="19" t="str">
        <f t="shared" si="4"/>
        <v/>
      </c>
      <c r="AJ17" s="19" t="str">
        <f t="shared" si="4"/>
        <v/>
      </c>
      <c r="AK17" s="19" t="str">
        <f t="shared" si="4"/>
        <v/>
      </c>
      <c r="AL17" s="19" t="str">
        <f t="shared" si="4"/>
        <v/>
      </c>
      <c r="AM17" s="19" t="str">
        <f t="shared" si="4"/>
        <v/>
      </c>
    </row>
    <row r="18" spans="1:39" ht="15.75" customHeight="1" thickBot="1">
      <c r="A18" s="28" t="s">
        <v>40</v>
      </c>
      <c r="B18" s="19" t="str">
        <f t="shared" si="1"/>
        <v/>
      </c>
      <c r="C18" s="19" t="str">
        <f t="shared" si="1"/>
        <v/>
      </c>
      <c r="D18" s="19" t="str">
        <f t="shared" si="1"/>
        <v/>
      </c>
      <c r="E18" s="19" t="str">
        <f t="shared" si="1"/>
        <v/>
      </c>
      <c r="F18" s="19" t="str">
        <f t="shared" si="1"/>
        <v/>
      </c>
      <c r="G18" s="19" t="str">
        <f t="shared" si="1"/>
        <v/>
      </c>
      <c r="H18" s="19" t="str">
        <f t="shared" si="1"/>
        <v/>
      </c>
      <c r="I18" s="19" t="str">
        <f t="shared" si="1"/>
        <v/>
      </c>
      <c r="J18" s="19" t="str">
        <f t="shared" si="1"/>
        <v/>
      </c>
      <c r="K18" s="19" t="str">
        <f t="shared" si="1"/>
        <v/>
      </c>
      <c r="L18" s="19" t="str">
        <f t="shared" si="1"/>
        <v/>
      </c>
      <c r="M18" s="19" t="str">
        <f t="shared" si="1"/>
        <v/>
      </c>
      <c r="N18" s="19" t="str">
        <f t="shared" si="1"/>
        <v/>
      </c>
      <c r="O18" s="19" t="str">
        <f t="shared" si="1"/>
        <v/>
      </c>
      <c r="P18" s="19" t="str">
        <f t="shared" si="1"/>
        <v/>
      </c>
      <c r="Q18" s="19" t="str">
        <f t="shared" si="1"/>
        <v/>
      </c>
      <c r="R18" s="19" t="str">
        <f t="shared" si="3"/>
        <v/>
      </c>
      <c r="S18" s="19" t="str">
        <f t="shared" si="3"/>
        <v/>
      </c>
      <c r="T18" s="19" t="str">
        <f t="shared" si="3"/>
        <v/>
      </c>
      <c r="U18" s="19" t="str">
        <f t="shared" si="3"/>
        <v/>
      </c>
      <c r="V18" s="19" t="str">
        <f t="shared" si="3"/>
        <v/>
      </c>
      <c r="W18" s="19" t="str">
        <f t="shared" si="3"/>
        <v/>
      </c>
      <c r="X18" s="19" t="str">
        <f t="shared" si="3"/>
        <v/>
      </c>
      <c r="Y18" s="19" t="str">
        <f t="shared" si="3"/>
        <v/>
      </c>
      <c r="Z18" s="19" t="str">
        <f t="shared" si="3"/>
        <v/>
      </c>
      <c r="AA18" s="19" t="str">
        <f t="shared" si="3"/>
        <v/>
      </c>
      <c r="AB18" s="19" t="str">
        <f t="shared" si="3"/>
        <v/>
      </c>
      <c r="AC18" s="19" t="str">
        <f t="shared" si="3"/>
        <v/>
      </c>
      <c r="AD18" s="19" t="str">
        <f t="shared" si="3"/>
        <v/>
      </c>
      <c r="AE18" s="19" t="str">
        <f t="shared" si="3"/>
        <v/>
      </c>
      <c r="AF18" s="19" t="str">
        <f t="shared" si="3"/>
        <v/>
      </c>
      <c r="AG18" s="19" t="str">
        <f t="shared" si="3"/>
        <v/>
      </c>
      <c r="AH18" s="19" t="str">
        <f t="shared" si="4"/>
        <v/>
      </c>
      <c r="AI18" s="19" t="str">
        <f t="shared" si="4"/>
        <v/>
      </c>
      <c r="AJ18" s="19" t="str">
        <f t="shared" si="4"/>
        <v/>
      </c>
      <c r="AK18" s="19" t="str">
        <f t="shared" si="4"/>
        <v/>
      </c>
      <c r="AL18" s="19" t="str">
        <f t="shared" si="4"/>
        <v/>
      </c>
      <c r="AM18" s="19" t="str">
        <f t="shared" si="4"/>
        <v/>
      </c>
    </row>
    <row r="19" spans="1:39" ht="15.75" customHeight="1" thickBot="1">
      <c r="A19" s="28" t="s">
        <v>40</v>
      </c>
      <c r="B19" s="19" t="str">
        <f t="shared" si="1"/>
        <v/>
      </c>
      <c r="C19" s="19" t="str">
        <f t="shared" si="1"/>
        <v/>
      </c>
      <c r="D19" s="19" t="str">
        <f t="shared" si="1"/>
        <v/>
      </c>
      <c r="E19" s="19" t="str">
        <f t="shared" si="1"/>
        <v/>
      </c>
      <c r="F19" s="19" t="str">
        <f t="shared" si="1"/>
        <v/>
      </c>
      <c r="G19" s="19" t="str">
        <f t="shared" si="1"/>
        <v/>
      </c>
      <c r="H19" s="19" t="str">
        <f t="shared" si="1"/>
        <v/>
      </c>
      <c r="I19" s="19" t="str">
        <f t="shared" si="1"/>
        <v/>
      </c>
      <c r="J19" s="19" t="str">
        <f t="shared" si="1"/>
        <v/>
      </c>
      <c r="K19" s="19" t="str">
        <f t="shared" si="1"/>
        <v/>
      </c>
      <c r="L19" s="19" t="str">
        <f t="shared" si="1"/>
        <v/>
      </c>
      <c r="M19" s="19" t="str">
        <f t="shared" si="1"/>
        <v/>
      </c>
      <c r="N19" s="19" t="str">
        <f t="shared" si="1"/>
        <v/>
      </c>
      <c r="O19" s="19" t="str">
        <f t="shared" si="1"/>
        <v/>
      </c>
      <c r="P19" s="19" t="str">
        <f t="shared" si="1"/>
        <v/>
      </c>
      <c r="Q19" s="19" t="str">
        <f t="shared" si="1"/>
        <v/>
      </c>
      <c r="R19" s="19" t="str">
        <f t="shared" si="3"/>
        <v/>
      </c>
      <c r="S19" s="19" t="str">
        <f t="shared" si="3"/>
        <v/>
      </c>
      <c r="T19" s="19" t="str">
        <f t="shared" si="3"/>
        <v/>
      </c>
      <c r="U19" s="19" t="str">
        <f t="shared" si="3"/>
        <v/>
      </c>
      <c r="V19" s="19" t="str">
        <f t="shared" si="3"/>
        <v/>
      </c>
      <c r="W19" s="19" t="str">
        <f t="shared" si="3"/>
        <v/>
      </c>
      <c r="X19" s="19" t="str">
        <f t="shared" si="3"/>
        <v/>
      </c>
      <c r="Y19" s="19" t="str">
        <f t="shared" si="3"/>
        <v/>
      </c>
      <c r="Z19" s="19" t="str">
        <f t="shared" si="3"/>
        <v/>
      </c>
      <c r="AA19" s="19" t="str">
        <f t="shared" si="3"/>
        <v/>
      </c>
      <c r="AB19" s="19" t="str">
        <f t="shared" si="3"/>
        <v/>
      </c>
      <c r="AC19" s="19" t="str">
        <f t="shared" si="3"/>
        <v/>
      </c>
      <c r="AD19" s="19" t="str">
        <f t="shared" si="3"/>
        <v/>
      </c>
      <c r="AE19" s="19" t="str">
        <f t="shared" si="3"/>
        <v/>
      </c>
      <c r="AF19" s="19" t="str">
        <f t="shared" si="3"/>
        <v/>
      </c>
      <c r="AG19" s="19" t="str">
        <f t="shared" si="3"/>
        <v/>
      </c>
      <c r="AH19" s="19" t="str">
        <f t="shared" si="4"/>
        <v/>
      </c>
      <c r="AI19" s="19" t="str">
        <f t="shared" si="4"/>
        <v/>
      </c>
      <c r="AJ19" s="19" t="str">
        <f t="shared" si="4"/>
        <v/>
      </c>
      <c r="AK19" s="19" t="str">
        <f t="shared" si="4"/>
        <v/>
      </c>
      <c r="AL19" s="19" t="str">
        <f t="shared" si="4"/>
        <v/>
      </c>
      <c r="AM19" s="19" t="str">
        <f t="shared" si="4"/>
        <v/>
      </c>
    </row>
    <row r="20" spans="1:39" ht="15.75" customHeight="1" thickBot="1">
      <c r="A20" s="28" t="s">
        <v>40</v>
      </c>
      <c r="B20" s="19" t="str">
        <f t="shared" si="1"/>
        <v/>
      </c>
      <c r="C20" s="19" t="str">
        <f t="shared" si="1"/>
        <v/>
      </c>
      <c r="D20" s="19" t="str">
        <f t="shared" si="1"/>
        <v/>
      </c>
      <c r="E20" s="19" t="str">
        <f t="shared" si="1"/>
        <v/>
      </c>
      <c r="F20" s="19" t="str">
        <f t="shared" si="1"/>
        <v/>
      </c>
      <c r="G20" s="19" t="str">
        <f t="shared" si="1"/>
        <v/>
      </c>
      <c r="H20" s="19" t="str">
        <f t="shared" si="1"/>
        <v/>
      </c>
      <c r="I20" s="19" t="str">
        <f t="shared" si="1"/>
        <v/>
      </c>
      <c r="J20" s="19" t="str">
        <f t="shared" si="1"/>
        <v/>
      </c>
      <c r="K20" s="19" t="str">
        <f t="shared" si="1"/>
        <v/>
      </c>
      <c r="L20" s="19" t="str">
        <f t="shared" si="1"/>
        <v/>
      </c>
      <c r="M20" s="19" t="str">
        <f t="shared" si="1"/>
        <v/>
      </c>
      <c r="N20" s="19" t="str">
        <f t="shared" si="1"/>
        <v/>
      </c>
      <c r="O20" s="19" t="str">
        <f t="shared" si="1"/>
        <v/>
      </c>
      <c r="P20" s="19" t="str">
        <f t="shared" si="1"/>
        <v/>
      </c>
      <c r="Q20" s="19" t="str">
        <f t="shared" si="1"/>
        <v/>
      </c>
      <c r="R20" s="19" t="str">
        <f t="shared" si="3"/>
        <v/>
      </c>
      <c r="S20" s="19" t="str">
        <f t="shared" si="3"/>
        <v/>
      </c>
      <c r="T20" s="19" t="str">
        <f t="shared" si="3"/>
        <v/>
      </c>
      <c r="U20" s="19" t="str">
        <f t="shared" si="3"/>
        <v/>
      </c>
      <c r="V20" s="19" t="str">
        <f t="shared" si="3"/>
        <v/>
      </c>
      <c r="W20" s="19" t="str">
        <f t="shared" si="3"/>
        <v/>
      </c>
      <c r="X20" s="19" t="str">
        <f t="shared" si="3"/>
        <v/>
      </c>
      <c r="Y20" s="19" t="str">
        <f t="shared" si="3"/>
        <v/>
      </c>
      <c r="Z20" s="19" t="str">
        <f t="shared" si="3"/>
        <v/>
      </c>
      <c r="AA20" s="19" t="str">
        <f t="shared" si="3"/>
        <v/>
      </c>
      <c r="AB20" s="19" t="str">
        <f t="shared" si="3"/>
        <v/>
      </c>
      <c r="AC20" s="19" t="str">
        <f t="shared" si="3"/>
        <v/>
      </c>
      <c r="AD20" s="19" t="str">
        <f t="shared" si="3"/>
        <v/>
      </c>
      <c r="AE20" s="19" t="str">
        <f t="shared" si="3"/>
        <v/>
      </c>
      <c r="AF20" s="19" t="str">
        <f t="shared" si="3"/>
        <v/>
      </c>
      <c r="AG20" s="19" t="str">
        <f t="shared" si="3"/>
        <v/>
      </c>
      <c r="AH20" s="19" t="str">
        <f t="shared" si="4"/>
        <v/>
      </c>
      <c r="AI20" s="19" t="str">
        <f t="shared" si="4"/>
        <v/>
      </c>
      <c r="AJ20" s="19" t="str">
        <f t="shared" si="4"/>
        <v/>
      </c>
      <c r="AK20" s="19" t="str">
        <f t="shared" si="4"/>
        <v/>
      </c>
      <c r="AL20" s="19" t="str">
        <f t="shared" si="4"/>
        <v/>
      </c>
      <c r="AM20" s="19" t="str">
        <f t="shared" si="4"/>
        <v/>
      </c>
    </row>
    <row r="21" spans="1:39" ht="15.75" customHeight="1">
      <c r="A21" s="28" t="s">
        <v>40</v>
      </c>
      <c r="B21" s="19" t="str">
        <f t="shared" si="1"/>
        <v/>
      </c>
      <c r="C21" s="19" t="str">
        <f t="shared" si="1"/>
        <v/>
      </c>
      <c r="D21" s="19" t="str">
        <f t="shared" si="1"/>
        <v/>
      </c>
      <c r="E21" s="19" t="str">
        <f t="shared" si="1"/>
        <v/>
      </c>
      <c r="F21" s="19" t="str">
        <f t="shared" si="1"/>
        <v/>
      </c>
      <c r="G21" s="19" t="str">
        <f t="shared" si="1"/>
        <v/>
      </c>
      <c r="H21" s="19" t="str">
        <f t="shared" si="1"/>
        <v/>
      </c>
      <c r="I21" s="19" t="str">
        <f t="shared" si="1"/>
        <v/>
      </c>
      <c r="J21" s="19" t="str">
        <f t="shared" si="1"/>
        <v/>
      </c>
      <c r="K21" s="19" t="str">
        <f t="shared" si="1"/>
        <v/>
      </c>
      <c r="L21" s="19" t="str">
        <f t="shared" si="1"/>
        <v/>
      </c>
      <c r="M21" s="19" t="str">
        <f t="shared" si="1"/>
        <v/>
      </c>
      <c r="N21" s="19" t="str">
        <f t="shared" si="1"/>
        <v/>
      </c>
      <c r="O21" s="19" t="str">
        <f t="shared" si="1"/>
        <v/>
      </c>
      <c r="P21" s="19" t="str">
        <f t="shared" si="1"/>
        <v/>
      </c>
      <c r="Q21" s="19" t="str">
        <f t="shared" si="1"/>
        <v/>
      </c>
      <c r="R21" s="19" t="str">
        <f t="shared" si="3"/>
        <v/>
      </c>
      <c r="S21" s="19" t="str">
        <f t="shared" si="3"/>
        <v/>
      </c>
      <c r="T21" s="19" t="str">
        <f t="shared" si="3"/>
        <v/>
      </c>
      <c r="U21" s="19" t="str">
        <f t="shared" si="3"/>
        <v/>
      </c>
      <c r="V21" s="19" t="str">
        <f t="shared" si="3"/>
        <v/>
      </c>
      <c r="W21" s="19" t="str">
        <f t="shared" si="3"/>
        <v/>
      </c>
      <c r="X21" s="19" t="str">
        <f t="shared" si="3"/>
        <v/>
      </c>
      <c r="Y21" s="19" t="str">
        <f t="shared" si="3"/>
        <v/>
      </c>
      <c r="Z21" s="19" t="str">
        <f t="shared" si="3"/>
        <v/>
      </c>
      <c r="AA21" s="19" t="str">
        <f t="shared" si="3"/>
        <v/>
      </c>
      <c r="AB21" s="19" t="str">
        <f t="shared" si="3"/>
        <v/>
      </c>
      <c r="AC21" s="19" t="str">
        <f t="shared" si="3"/>
        <v/>
      </c>
      <c r="AD21" s="19" t="str">
        <f t="shared" si="3"/>
        <v/>
      </c>
      <c r="AE21" s="19" t="str">
        <f t="shared" si="3"/>
        <v/>
      </c>
      <c r="AF21" s="19" t="str">
        <f t="shared" si="3"/>
        <v/>
      </c>
      <c r="AG21" s="19" t="str">
        <f t="shared" si="3"/>
        <v/>
      </c>
      <c r="AH21" s="19" t="str">
        <f t="shared" si="4"/>
        <v/>
      </c>
      <c r="AI21" s="19" t="str">
        <f t="shared" si="4"/>
        <v/>
      </c>
      <c r="AJ21" s="19" t="str">
        <f t="shared" si="4"/>
        <v/>
      </c>
      <c r="AK21" s="19" t="str">
        <f t="shared" si="4"/>
        <v/>
      </c>
      <c r="AL21" s="19" t="str">
        <f t="shared" si="4"/>
        <v/>
      </c>
      <c r="AM21" s="19" t="str">
        <f t="shared" si="4"/>
        <v/>
      </c>
    </row>
    <row r="22" spans="1:39" ht="15.75" hidden="1" customHeight="1">
      <c r="A22" s="28" t="s">
        <v>40</v>
      </c>
    </row>
    <row r="23" spans="1:39" ht="15.75" customHeight="1">
      <c r="A23" s="59"/>
    </row>
    <row r="24" spans="1:39" ht="15.75" customHeight="1" thickBot="1">
      <c r="A24" s="60"/>
    </row>
    <row r="25" spans="1:39" ht="15.75" hidden="1" customHeight="1" outlineLevel="1" thickBot="1">
      <c r="A25" s="23"/>
      <c r="B25" s="24">
        <v>1</v>
      </c>
      <c r="C25" s="25">
        <v>2</v>
      </c>
      <c r="D25" s="25">
        <v>3</v>
      </c>
      <c r="E25" s="25">
        <v>4</v>
      </c>
      <c r="F25" s="25">
        <v>5</v>
      </c>
      <c r="G25" s="25">
        <v>6</v>
      </c>
      <c r="H25" s="25">
        <v>7</v>
      </c>
      <c r="I25" s="25">
        <v>8</v>
      </c>
      <c r="J25" s="25">
        <v>9</v>
      </c>
      <c r="K25" s="25">
        <v>10</v>
      </c>
      <c r="L25" s="25">
        <v>11</v>
      </c>
      <c r="M25" s="25">
        <v>12</v>
      </c>
      <c r="N25" s="25">
        <v>13</v>
      </c>
      <c r="O25" s="25">
        <v>14</v>
      </c>
      <c r="P25" s="25">
        <v>15</v>
      </c>
      <c r="Q25" s="25">
        <v>16</v>
      </c>
      <c r="R25" s="25">
        <v>17</v>
      </c>
      <c r="S25" s="25">
        <v>18</v>
      </c>
      <c r="T25" s="25">
        <v>19</v>
      </c>
      <c r="U25" s="25">
        <v>20</v>
      </c>
      <c r="V25" s="25">
        <v>21</v>
      </c>
      <c r="W25" s="25">
        <v>22</v>
      </c>
      <c r="X25" s="25">
        <v>23</v>
      </c>
      <c r="Y25" s="25">
        <v>24</v>
      </c>
      <c r="Z25" s="25">
        <v>25</v>
      </c>
      <c r="AA25" s="25">
        <v>26</v>
      </c>
      <c r="AB25" s="25">
        <v>27</v>
      </c>
      <c r="AC25" s="25">
        <v>28</v>
      </c>
      <c r="AD25" s="25">
        <v>29</v>
      </c>
      <c r="AE25" s="25">
        <v>30</v>
      </c>
      <c r="AF25" s="25">
        <v>31</v>
      </c>
      <c r="AG25" s="25">
        <v>32</v>
      </c>
      <c r="AH25" s="25">
        <v>33</v>
      </c>
      <c r="AI25" s="25">
        <v>34</v>
      </c>
      <c r="AJ25" s="25">
        <v>35</v>
      </c>
      <c r="AK25" s="25">
        <v>36</v>
      </c>
      <c r="AL25" s="25">
        <v>37</v>
      </c>
      <c r="AM25" s="26">
        <v>38</v>
      </c>
    </row>
    <row r="26" spans="1:39" ht="15.75" hidden="1" customHeight="1" outlineLevel="1">
      <c r="A26" s="28" t="s">
        <v>0</v>
      </c>
      <c r="B26" s="19" t="s">
        <v>1</v>
      </c>
      <c r="C26" s="20" t="s">
        <v>2</v>
      </c>
      <c r="D26" s="20" t="s">
        <v>3</v>
      </c>
      <c r="E26" s="20" t="s">
        <v>4</v>
      </c>
      <c r="F26" s="20" t="s">
        <v>5</v>
      </c>
      <c r="G26" s="20" t="s">
        <v>6</v>
      </c>
      <c r="H26" s="20" t="s">
        <v>7</v>
      </c>
      <c r="I26" s="20" t="s">
        <v>8</v>
      </c>
      <c r="J26" s="20" t="s">
        <v>9</v>
      </c>
      <c r="K26" s="20" t="s">
        <v>10</v>
      </c>
      <c r="L26" s="20" t="s">
        <v>11</v>
      </c>
      <c r="M26" s="20" t="s">
        <v>12</v>
      </c>
      <c r="N26" s="20" t="s">
        <v>13</v>
      </c>
      <c r="O26" s="20" t="s">
        <v>14</v>
      </c>
      <c r="P26" s="20" t="s">
        <v>15</v>
      </c>
      <c r="Q26" s="20" t="s">
        <v>16</v>
      </c>
      <c r="R26" s="20" t="s">
        <v>17</v>
      </c>
      <c r="S26" s="20" t="s">
        <v>18</v>
      </c>
      <c r="T26" s="20" t="s">
        <v>19</v>
      </c>
      <c r="U26" s="20" t="s">
        <v>20</v>
      </c>
      <c r="V26" s="20" t="s">
        <v>21</v>
      </c>
      <c r="W26" s="20" t="s">
        <v>22</v>
      </c>
      <c r="X26" s="20" t="s">
        <v>23</v>
      </c>
      <c r="Y26" s="20" t="s">
        <v>24</v>
      </c>
      <c r="Z26" s="20" t="s">
        <v>25</v>
      </c>
      <c r="AA26" s="20" t="s">
        <v>26</v>
      </c>
      <c r="AB26" s="20" t="s">
        <v>27</v>
      </c>
      <c r="AC26" s="20" t="s">
        <v>28</v>
      </c>
      <c r="AD26" s="20" t="s">
        <v>29</v>
      </c>
      <c r="AE26" s="20" t="s">
        <v>30</v>
      </c>
      <c r="AF26" s="20" t="s">
        <v>31</v>
      </c>
      <c r="AG26" s="20" t="s">
        <v>32</v>
      </c>
      <c r="AH26" s="20" t="s">
        <v>33</v>
      </c>
      <c r="AI26" s="20" t="s">
        <v>34</v>
      </c>
      <c r="AJ26" s="20" t="s">
        <v>35</v>
      </c>
      <c r="AK26" s="20" t="s">
        <v>36</v>
      </c>
      <c r="AL26" s="20" t="s">
        <v>37</v>
      </c>
      <c r="AM26" s="20" t="s">
        <v>38</v>
      </c>
    </row>
    <row r="27" spans="1:39" ht="15.75" hidden="1" customHeight="1" outlineLevel="1">
      <c r="A27" s="2" t="s">
        <v>38</v>
      </c>
      <c r="B27" s="21" t="s">
        <v>25</v>
      </c>
      <c r="C27" s="22" t="s">
        <v>8</v>
      </c>
      <c r="D27" s="22" t="s">
        <v>2</v>
      </c>
      <c r="E27" s="22" t="s">
        <v>15</v>
      </c>
      <c r="F27" s="22" t="s">
        <v>7</v>
      </c>
      <c r="G27" s="22" t="s">
        <v>30</v>
      </c>
      <c r="H27" s="22" t="s">
        <v>21</v>
      </c>
      <c r="I27" s="22" t="s">
        <v>5</v>
      </c>
      <c r="J27" s="22" t="s">
        <v>6</v>
      </c>
      <c r="K27" s="22" t="s">
        <v>28</v>
      </c>
      <c r="L27" s="22" t="s">
        <v>29</v>
      </c>
      <c r="M27" s="22" t="s">
        <v>17</v>
      </c>
      <c r="N27" s="22" t="s">
        <v>31</v>
      </c>
      <c r="O27" s="22" t="s">
        <v>32</v>
      </c>
      <c r="P27" s="22" t="s">
        <v>18</v>
      </c>
      <c r="Q27" s="22" t="s">
        <v>0</v>
      </c>
      <c r="R27" s="22" t="s">
        <v>4</v>
      </c>
      <c r="S27" s="22" t="s">
        <v>1</v>
      </c>
      <c r="T27" s="22" t="s">
        <v>14</v>
      </c>
      <c r="U27" s="22" t="s">
        <v>35</v>
      </c>
      <c r="V27" s="22" t="s">
        <v>34</v>
      </c>
      <c r="W27" s="22" t="s">
        <v>26</v>
      </c>
      <c r="X27" s="22" t="s">
        <v>13</v>
      </c>
      <c r="Y27" s="22" t="s">
        <v>33</v>
      </c>
      <c r="Z27" s="22" t="s">
        <v>36</v>
      </c>
      <c r="AA27" s="22" t="s">
        <v>3</v>
      </c>
      <c r="AB27" s="22" t="s">
        <v>22</v>
      </c>
      <c r="AC27" s="22" t="s">
        <v>10</v>
      </c>
      <c r="AD27" s="22" t="s">
        <v>37</v>
      </c>
      <c r="AE27" s="22" t="s">
        <v>12</v>
      </c>
      <c r="AF27" s="22" t="s">
        <v>11</v>
      </c>
      <c r="AG27" s="22" t="s">
        <v>23</v>
      </c>
      <c r="AH27" s="22" t="s">
        <v>19</v>
      </c>
      <c r="AI27" s="22" t="s">
        <v>27</v>
      </c>
      <c r="AJ27" s="22" t="s">
        <v>24</v>
      </c>
      <c r="AK27" s="22" t="s">
        <v>9</v>
      </c>
      <c r="AL27" s="22" t="s">
        <v>20</v>
      </c>
      <c r="AM27" s="22" t="s">
        <v>39</v>
      </c>
    </row>
    <row r="28" spans="1:39" ht="15.75" hidden="1" customHeight="1" outlineLevel="1">
      <c r="A28" s="2" t="s">
        <v>19</v>
      </c>
      <c r="B28" s="21" t="s">
        <v>38</v>
      </c>
      <c r="C28" s="22" t="s">
        <v>21</v>
      </c>
      <c r="D28" s="22" t="s">
        <v>33</v>
      </c>
      <c r="E28" s="22" t="s">
        <v>26</v>
      </c>
      <c r="F28" s="22" t="s">
        <v>14</v>
      </c>
      <c r="G28" s="22" t="s">
        <v>15</v>
      </c>
      <c r="H28" s="22" t="s">
        <v>22</v>
      </c>
      <c r="I28" s="22" t="s">
        <v>32</v>
      </c>
      <c r="J28" s="22" t="s">
        <v>37</v>
      </c>
      <c r="K28" s="22" t="s">
        <v>12</v>
      </c>
      <c r="L28" s="22" t="s">
        <v>18</v>
      </c>
      <c r="M28" s="22" t="s">
        <v>20</v>
      </c>
      <c r="N28" s="22" t="s">
        <v>11</v>
      </c>
      <c r="O28" s="22" t="s">
        <v>10</v>
      </c>
      <c r="P28" s="22" t="s">
        <v>6</v>
      </c>
      <c r="Q28" s="22" t="s">
        <v>8</v>
      </c>
      <c r="R28" s="22" t="s">
        <v>13</v>
      </c>
      <c r="S28" s="22" t="s">
        <v>34</v>
      </c>
      <c r="T28" s="22" t="s">
        <v>39</v>
      </c>
      <c r="U28" s="22" t="s">
        <v>7</v>
      </c>
      <c r="V28" s="22" t="s">
        <v>1</v>
      </c>
      <c r="W28" s="22" t="s">
        <v>36</v>
      </c>
      <c r="X28" s="22" t="s">
        <v>35</v>
      </c>
      <c r="Y28" s="22" t="s">
        <v>2</v>
      </c>
      <c r="Z28" s="22" t="s">
        <v>0</v>
      </c>
      <c r="AA28" s="22" t="s">
        <v>5</v>
      </c>
      <c r="AB28" s="22" t="s">
        <v>9</v>
      </c>
      <c r="AC28" s="22" t="s">
        <v>24</v>
      </c>
      <c r="AD28" s="22" t="s">
        <v>4</v>
      </c>
      <c r="AE28" s="22" t="s">
        <v>28</v>
      </c>
      <c r="AF28" s="22" t="s">
        <v>29</v>
      </c>
      <c r="AG28" s="22" t="s">
        <v>17</v>
      </c>
      <c r="AH28" s="22" t="s">
        <v>16</v>
      </c>
      <c r="AI28" s="22" t="s">
        <v>3</v>
      </c>
      <c r="AJ28" s="22" t="s">
        <v>23</v>
      </c>
      <c r="AK28" s="22" t="s">
        <v>31</v>
      </c>
      <c r="AL28" s="22" t="s">
        <v>30</v>
      </c>
      <c r="AM28" s="22" t="s">
        <v>27</v>
      </c>
    </row>
    <row r="29" spans="1:39" ht="15.75" hidden="1" customHeight="1" outlineLevel="1">
      <c r="A29" s="2" t="s">
        <v>23</v>
      </c>
      <c r="B29" s="21" t="s">
        <v>28</v>
      </c>
      <c r="C29" s="22" t="s">
        <v>37</v>
      </c>
      <c r="D29" s="22" t="s">
        <v>13</v>
      </c>
      <c r="E29" s="22" t="s">
        <v>34</v>
      </c>
      <c r="F29" s="22" t="s">
        <v>31</v>
      </c>
      <c r="G29" s="22" t="s">
        <v>0</v>
      </c>
      <c r="H29" s="22" t="s">
        <v>4</v>
      </c>
      <c r="I29" s="22" t="s">
        <v>24</v>
      </c>
      <c r="J29" s="22" t="s">
        <v>38</v>
      </c>
      <c r="K29" s="22" t="s">
        <v>33</v>
      </c>
      <c r="L29" s="22" t="s">
        <v>3</v>
      </c>
      <c r="M29" s="22" t="s">
        <v>22</v>
      </c>
      <c r="N29" s="22" t="s">
        <v>36</v>
      </c>
      <c r="O29" s="22" t="s">
        <v>29</v>
      </c>
      <c r="P29" s="22" t="s">
        <v>19</v>
      </c>
      <c r="Q29" s="22" t="s">
        <v>7</v>
      </c>
      <c r="R29" s="22" t="s">
        <v>15</v>
      </c>
      <c r="S29" s="22" t="s">
        <v>32</v>
      </c>
      <c r="T29" s="22" t="s">
        <v>27</v>
      </c>
      <c r="U29" s="22" t="s">
        <v>2</v>
      </c>
      <c r="V29" s="22" t="s">
        <v>30</v>
      </c>
      <c r="W29" s="22" t="s">
        <v>10</v>
      </c>
      <c r="X29" s="22" t="s">
        <v>39</v>
      </c>
      <c r="Y29" s="22" t="s">
        <v>9</v>
      </c>
      <c r="Z29" s="22" t="s">
        <v>8</v>
      </c>
      <c r="AA29" s="22" t="s">
        <v>20</v>
      </c>
      <c r="AB29" s="22" t="s">
        <v>18</v>
      </c>
      <c r="AC29" s="22" t="s">
        <v>14</v>
      </c>
      <c r="AD29" s="22" t="s">
        <v>5</v>
      </c>
      <c r="AE29" s="22" t="s">
        <v>21</v>
      </c>
      <c r="AF29" s="22" t="s">
        <v>1</v>
      </c>
      <c r="AG29" s="22" t="s">
        <v>16</v>
      </c>
      <c r="AH29" s="22" t="s">
        <v>11</v>
      </c>
      <c r="AI29" s="22" t="s">
        <v>17</v>
      </c>
      <c r="AJ29" s="22" t="s">
        <v>25</v>
      </c>
      <c r="AK29" s="22" t="s">
        <v>12</v>
      </c>
      <c r="AL29" s="22" t="s">
        <v>35</v>
      </c>
      <c r="AM29" s="22" t="s">
        <v>26</v>
      </c>
    </row>
    <row r="30" spans="1:39" ht="13.15" hidden="1" outlineLevel="1">
      <c r="A30" s="2" t="s">
        <v>34</v>
      </c>
      <c r="B30" s="21" t="s">
        <v>14</v>
      </c>
      <c r="C30" s="22" t="s">
        <v>0</v>
      </c>
      <c r="D30" s="22" t="s">
        <v>38</v>
      </c>
      <c r="E30" s="22" t="s">
        <v>6</v>
      </c>
      <c r="F30" s="22" t="s">
        <v>17</v>
      </c>
      <c r="G30" s="22" t="s">
        <v>29</v>
      </c>
      <c r="H30" s="22" t="s">
        <v>9</v>
      </c>
      <c r="I30" s="22" t="s">
        <v>30</v>
      </c>
      <c r="J30" s="22" t="s">
        <v>1</v>
      </c>
      <c r="K30" s="22" t="s">
        <v>7</v>
      </c>
      <c r="L30" s="22" t="s">
        <v>8</v>
      </c>
      <c r="M30" s="22" t="s">
        <v>21</v>
      </c>
      <c r="N30" s="22" t="s">
        <v>15</v>
      </c>
      <c r="O30" s="22" t="s">
        <v>20</v>
      </c>
      <c r="P30" s="22" t="s">
        <v>31</v>
      </c>
      <c r="Q30" s="22" t="s">
        <v>24</v>
      </c>
      <c r="R30" s="22" t="s">
        <v>22</v>
      </c>
      <c r="S30" s="22" t="s">
        <v>25</v>
      </c>
      <c r="T30" s="22" t="s">
        <v>28</v>
      </c>
      <c r="U30" s="22" t="s">
        <v>23</v>
      </c>
      <c r="V30" s="22" t="s">
        <v>16</v>
      </c>
      <c r="W30" s="22" t="s">
        <v>37</v>
      </c>
      <c r="X30" s="22" t="s">
        <v>12</v>
      </c>
      <c r="Y30" s="22" t="s">
        <v>19</v>
      </c>
      <c r="Z30" s="22" t="s">
        <v>11</v>
      </c>
      <c r="AA30" s="22" t="s">
        <v>32</v>
      </c>
      <c r="AB30" s="22" t="s">
        <v>13</v>
      </c>
      <c r="AC30" s="22" t="s">
        <v>35</v>
      </c>
      <c r="AD30" s="22" t="s">
        <v>3</v>
      </c>
      <c r="AE30" s="22" t="s">
        <v>27</v>
      </c>
      <c r="AF30" s="22" t="s">
        <v>26</v>
      </c>
      <c r="AG30" s="22" t="s">
        <v>33</v>
      </c>
      <c r="AH30" s="22" t="s">
        <v>36</v>
      </c>
      <c r="AI30" s="22" t="s">
        <v>39</v>
      </c>
      <c r="AJ30" s="22" t="s">
        <v>10</v>
      </c>
      <c r="AK30" s="22" t="s">
        <v>4</v>
      </c>
      <c r="AL30" s="22" t="s">
        <v>5</v>
      </c>
      <c r="AM30" s="22" t="s">
        <v>18</v>
      </c>
    </row>
    <row r="31" spans="1:39" ht="13.15" hidden="1" outlineLevel="1">
      <c r="A31" s="2" t="s">
        <v>10</v>
      </c>
      <c r="B31" s="21" t="s">
        <v>32</v>
      </c>
      <c r="C31" s="22" t="s">
        <v>18</v>
      </c>
      <c r="D31" s="22" t="s">
        <v>17</v>
      </c>
      <c r="E31" s="22" t="s">
        <v>29</v>
      </c>
      <c r="F31" s="22" t="s">
        <v>23</v>
      </c>
      <c r="G31" s="22" t="s">
        <v>11</v>
      </c>
      <c r="H31" s="22" t="s">
        <v>13</v>
      </c>
      <c r="I31" s="22" t="s">
        <v>3</v>
      </c>
      <c r="J31" s="22" t="s">
        <v>8</v>
      </c>
      <c r="K31" s="22" t="s">
        <v>39</v>
      </c>
      <c r="L31" s="22" t="s">
        <v>15</v>
      </c>
      <c r="M31" s="22" t="s">
        <v>33</v>
      </c>
      <c r="N31" s="22" t="s">
        <v>38</v>
      </c>
      <c r="O31" s="22" t="s">
        <v>25</v>
      </c>
      <c r="P31" s="22" t="s">
        <v>34</v>
      </c>
      <c r="Q31" s="22" t="s">
        <v>14</v>
      </c>
      <c r="R31" s="22" t="s">
        <v>26</v>
      </c>
      <c r="S31" s="22" t="s">
        <v>4</v>
      </c>
      <c r="T31" s="22" t="s">
        <v>5</v>
      </c>
      <c r="U31" s="22" t="s">
        <v>12</v>
      </c>
      <c r="V31" s="22" t="s">
        <v>37</v>
      </c>
      <c r="W31" s="22" t="s">
        <v>6</v>
      </c>
      <c r="X31" s="22" t="s">
        <v>28</v>
      </c>
      <c r="Y31" s="22" t="s">
        <v>20</v>
      </c>
      <c r="Z31" s="22" t="s">
        <v>22</v>
      </c>
      <c r="AA31" s="22" t="s">
        <v>30</v>
      </c>
      <c r="AB31" s="22" t="s">
        <v>21</v>
      </c>
      <c r="AC31" s="22" t="s">
        <v>16</v>
      </c>
      <c r="AD31" s="22" t="s">
        <v>1</v>
      </c>
      <c r="AE31" s="22" t="s">
        <v>35</v>
      </c>
      <c r="AF31" s="22" t="s">
        <v>0</v>
      </c>
      <c r="AG31" s="22" t="s">
        <v>27</v>
      </c>
      <c r="AH31" s="22" t="s">
        <v>9</v>
      </c>
      <c r="AI31" s="22" t="s">
        <v>24</v>
      </c>
      <c r="AJ31" s="22" t="s">
        <v>2</v>
      </c>
      <c r="AK31" s="22" t="s">
        <v>19</v>
      </c>
      <c r="AL31" s="22" t="s">
        <v>7</v>
      </c>
      <c r="AM31" s="22" t="s">
        <v>36</v>
      </c>
    </row>
    <row r="32" spans="1:39" ht="13.15" hidden="1" outlineLevel="1">
      <c r="A32" s="2" t="s">
        <v>26</v>
      </c>
      <c r="B32" s="21" t="s">
        <v>15</v>
      </c>
      <c r="C32" s="22" t="s">
        <v>33</v>
      </c>
      <c r="D32" s="22" t="s">
        <v>12</v>
      </c>
      <c r="E32" s="22" t="s">
        <v>25</v>
      </c>
      <c r="F32" s="22" t="s">
        <v>38</v>
      </c>
      <c r="G32" s="22" t="s">
        <v>22</v>
      </c>
      <c r="H32" s="22" t="s">
        <v>0</v>
      </c>
      <c r="I32" s="22" t="s">
        <v>14</v>
      </c>
      <c r="J32" s="22" t="s">
        <v>18</v>
      </c>
      <c r="K32" s="22" t="s">
        <v>34</v>
      </c>
      <c r="L32" s="22" t="s">
        <v>13</v>
      </c>
      <c r="M32" s="22" t="s">
        <v>32</v>
      </c>
      <c r="N32" s="22" t="s">
        <v>4</v>
      </c>
      <c r="O32" s="22" t="s">
        <v>8</v>
      </c>
      <c r="P32" s="22" t="s">
        <v>11</v>
      </c>
      <c r="Q32" s="22" t="s">
        <v>23</v>
      </c>
      <c r="R32" s="22" t="s">
        <v>31</v>
      </c>
      <c r="S32" s="22" t="s">
        <v>21</v>
      </c>
      <c r="T32" s="22" t="s">
        <v>17</v>
      </c>
      <c r="U32" s="22" t="s">
        <v>19</v>
      </c>
      <c r="V32" s="22" t="s">
        <v>29</v>
      </c>
      <c r="W32" s="22" t="s">
        <v>16</v>
      </c>
      <c r="X32" s="22" t="s">
        <v>5</v>
      </c>
      <c r="Y32" s="22" t="s">
        <v>3</v>
      </c>
      <c r="Z32" s="22" t="s">
        <v>37</v>
      </c>
      <c r="AA32" s="22" t="s">
        <v>39</v>
      </c>
      <c r="AB32" s="22" t="s">
        <v>36</v>
      </c>
      <c r="AC32" s="22" t="s">
        <v>30</v>
      </c>
      <c r="AD32" s="22" t="s">
        <v>9</v>
      </c>
      <c r="AE32" s="22" t="s">
        <v>20</v>
      </c>
      <c r="AF32" s="22" t="s">
        <v>2</v>
      </c>
      <c r="AG32" s="22" t="s">
        <v>24</v>
      </c>
      <c r="AH32" s="22" t="s">
        <v>35</v>
      </c>
      <c r="AI32" s="22" t="s">
        <v>1</v>
      </c>
      <c r="AJ32" s="22" t="s">
        <v>28</v>
      </c>
      <c r="AK32" s="22" t="s">
        <v>27</v>
      </c>
      <c r="AL32" s="22" t="s">
        <v>10</v>
      </c>
      <c r="AM32" s="22" t="s">
        <v>6</v>
      </c>
    </row>
    <row r="33" spans="1:39" ht="13.15" hidden="1" outlineLevel="1">
      <c r="A33" s="2" t="s">
        <v>3</v>
      </c>
      <c r="B33" s="21" t="s">
        <v>22</v>
      </c>
      <c r="C33" s="22" t="s">
        <v>19</v>
      </c>
      <c r="D33" s="22" t="s">
        <v>39</v>
      </c>
      <c r="E33" s="22" t="s">
        <v>1</v>
      </c>
      <c r="F33" s="22" t="s">
        <v>27</v>
      </c>
      <c r="G33" s="22" t="s">
        <v>36</v>
      </c>
      <c r="H33" s="22" t="s">
        <v>38</v>
      </c>
      <c r="I33" s="22" t="s">
        <v>31</v>
      </c>
      <c r="J33" s="22" t="s">
        <v>29</v>
      </c>
      <c r="K33" s="22" t="s">
        <v>24</v>
      </c>
      <c r="L33" s="22" t="s">
        <v>6</v>
      </c>
      <c r="M33" s="22" t="s">
        <v>34</v>
      </c>
      <c r="N33" s="22" t="s">
        <v>37</v>
      </c>
      <c r="O33" s="22" t="s">
        <v>28</v>
      </c>
      <c r="P33" s="22" t="s">
        <v>4</v>
      </c>
      <c r="Q33" s="22" t="s">
        <v>30</v>
      </c>
      <c r="R33" s="22" t="s">
        <v>9</v>
      </c>
      <c r="S33" s="22" t="s">
        <v>26</v>
      </c>
      <c r="T33" s="22" t="s">
        <v>35</v>
      </c>
      <c r="U33" s="22" t="s">
        <v>33</v>
      </c>
      <c r="V33" s="22" t="s">
        <v>0</v>
      </c>
      <c r="W33" s="22" t="s">
        <v>8</v>
      </c>
      <c r="X33" s="22" t="s">
        <v>14</v>
      </c>
      <c r="Y33" s="22" t="s">
        <v>7</v>
      </c>
      <c r="Z33" s="22" t="s">
        <v>15</v>
      </c>
      <c r="AA33" s="22" t="s">
        <v>16</v>
      </c>
      <c r="AB33" s="22" t="s">
        <v>10</v>
      </c>
      <c r="AC33" s="22" t="s">
        <v>17</v>
      </c>
      <c r="AD33" s="22" t="s">
        <v>2</v>
      </c>
      <c r="AE33" s="22" t="s">
        <v>23</v>
      </c>
      <c r="AF33" s="22" t="s">
        <v>18</v>
      </c>
      <c r="AG33" s="22" t="s">
        <v>12</v>
      </c>
      <c r="AH33" s="22" t="s">
        <v>5</v>
      </c>
      <c r="AI33" s="22" t="s">
        <v>25</v>
      </c>
      <c r="AJ33" s="22" t="s">
        <v>20</v>
      </c>
      <c r="AK33" s="22" t="s">
        <v>11</v>
      </c>
      <c r="AL33" s="22" t="s">
        <v>32</v>
      </c>
      <c r="AM33" s="22" t="s">
        <v>13</v>
      </c>
    </row>
    <row r="34" spans="1:39" ht="13.15" hidden="1" outlineLevel="1">
      <c r="A34" s="2" t="s">
        <v>17</v>
      </c>
      <c r="B34" s="21" t="s">
        <v>13</v>
      </c>
      <c r="C34" s="22" t="s">
        <v>23</v>
      </c>
      <c r="D34" s="22" t="s">
        <v>31</v>
      </c>
      <c r="E34" s="22" t="s">
        <v>32</v>
      </c>
      <c r="F34" s="22" t="s">
        <v>2</v>
      </c>
      <c r="G34" s="22" t="s">
        <v>1</v>
      </c>
      <c r="H34" s="22" t="s">
        <v>29</v>
      </c>
      <c r="I34" s="22" t="s">
        <v>20</v>
      </c>
      <c r="J34" s="22" t="s">
        <v>19</v>
      </c>
      <c r="K34" s="22" t="s">
        <v>27</v>
      </c>
      <c r="L34" s="22" t="s">
        <v>36</v>
      </c>
      <c r="M34" s="22" t="s">
        <v>16</v>
      </c>
      <c r="N34" s="22" t="s">
        <v>3</v>
      </c>
      <c r="O34" s="22" t="s">
        <v>24</v>
      </c>
      <c r="P34" s="22" t="s">
        <v>22</v>
      </c>
      <c r="Q34" s="22" t="s">
        <v>28</v>
      </c>
      <c r="R34" s="22" t="s">
        <v>39</v>
      </c>
      <c r="S34" s="22" t="s">
        <v>15</v>
      </c>
      <c r="T34" s="22" t="s">
        <v>7</v>
      </c>
      <c r="U34" s="22" t="s">
        <v>9</v>
      </c>
      <c r="V34" s="22" t="s">
        <v>10</v>
      </c>
      <c r="W34" s="22" t="s">
        <v>34</v>
      </c>
      <c r="X34" s="22" t="s">
        <v>33</v>
      </c>
      <c r="Y34" s="22" t="s">
        <v>35</v>
      </c>
      <c r="Z34" s="22" t="s">
        <v>26</v>
      </c>
      <c r="AA34" s="22" t="s">
        <v>12</v>
      </c>
      <c r="AB34" s="22" t="s">
        <v>4</v>
      </c>
      <c r="AC34" s="22" t="s">
        <v>21</v>
      </c>
      <c r="AD34" s="22" t="s">
        <v>38</v>
      </c>
      <c r="AE34" s="22" t="s">
        <v>14</v>
      </c>
      <c r="AF34" s="22" t="s">
        <v>8</v>
      </c>
      <c r="AG34" s="22" t="s">
        <v>25</v>
      </c>
      <c r="AH34" s="22" t="s">
        <v>30</v>
      </c>
      <c r="AI34" s="22" t="s">
        <v>6</v>
      </c>
      <c r="AJ34" s="22" t="s">
        <v>5</v>
      </c>
      <c r="AK34" s="22" t="s">
        <v>18</v>
      </c>
      <c r="AL34" s="22" t="s">
        <v>0</v>
      </c>
      <c r="AM34" s="22" t="s">
        <v>11</v>
      </c>
    </row>
    <row r="35" spans="1:39" ht="13.15" hidden="1" outlineLevel="1">
      <c r="A35" s="2" t="s">
        <v>8</v>
      </c>
      <c r="B35" s="21" t="s">
        <v>12</v>
      </c>
      <c r="C35" s="22" t="s">
        <v>16</v>
      </c>
      <c r="D35" s="22" t="s">
        <v>20</v>
      </c>
      <c r="E35" s="22" t="s">
        <v>11</v>
      </c>
      <c r="F35" s="22" t="s">
        <v>3</v>
      </c>
      <c r="G35" s="22" t="s">
        <v>18</v>
      </c>
      <c r="H35" s="22" t="s">
        <v>15</v>
      </c>
      <c r="I35" s="22" t="s">
        <v>39</v>
      </c>
      <c r="J35" s="22" t="s">
        <v>31</v>
      </c>
      <c r="K35" s="22" t="s">
        <v>17</v>
      </c>
      <c r="L35" s="22" t="s">
        <v>2</v>
      </c>
      <c r="M35" s="22" t="s">
        <v>30</v>
      </c>
      <c r="N35" s="22" t="s">
        <v>9</v>
      </c>
      <c r="O35" s="22" t="s">
        <v>7</v>
      </c>
      <c r="P35" s="22" t="s">
        <v>1</v>
      </c>
      <c r="Q35" s="22" t="s">
        <v>25</v>
      </c>
      <c r="R35" s="22" t="s">
        <v>36</v>
      </c>
      <c r="S35" s="22" t="s">
        <v>22</v>
      </c>
      <c r="T35" s="22" t="s">
        <v>23</v>
      </c>
      <c r="U35" s="22" t="s">
        <v>28</v>
      </c>
      <c r="V35" s="22" t="s">
        <v>4</v>
      </c>
      <c r="W35" s="22" t="s">
        <v>21</v>
      </c>
      <c r="X35" s="22" t="s">
        <v>24</v>
      </c>
      <c r="Y35" s="22" t="s">
        <v>5</v>
      </c>
      <c r="Z35" s="22" t="s">
        <v>6</v>
      </c>
      <c r="AA35" s="22" t="s">
        <v>35</v>
      </c>
      <c r="AB35" s="22" t="s">
        <v>0</v>
      </c>
      <c r="AC35" s="22" t="s">
        <v>32</v>
      </c>
      <c r="AD35" s="22" t="s">
        <v>13</v>
      </c>
      <c r="AE35" s="22" t="s">
        <v>34</v>
      </c>
      <c r="AF35" s="22" t="s">
        <v>37</v>
      </c>
      <c r="AG35" s="22" t="s">
        <v>10</v>
      </c>
      <c r="AH35" s="22" t="s">
        <v>29</v>
      </c>
      <c r="AI35" s="22" t="s">
        <v>38</v>
      </c>
      <c r="AJ35" s="22" t="s">
        <v>33</v>
      </c>
      <c r="AK35" s="22" t="s">
        <v>26</v>
      </c>
      <c r="AL35" s="22" t="s">
        <v>14</v>
      </c>
      <c r="AM35" s="22" t="s">
        <v>19</v>
      </c>
    </row>
    <row r="36" spans="1:39" ht="13.15" hidden="1" outlineLevel="1">
      <c r="A36" s="2" t="s">
        <v>20</v>
      </c>
      <c r="B36" s="21" t="s">
        <v>24</v>
      </c>
      <c r="C36" s="22" t="s">
        <v>11</v>
      </c>
      <c r="D36" s="22" t="s">
        <v>27</v>
      </c>
      <c r="E36" s="22" t="s">
        <v>0</v>
      </c>
      <c r="F36" s="22" t="s">
        <v>33</v>
      </c>
      <c r="G36" s="22" t="s">
        <v>32</v>
      </c>
      <c r="H36" s="22" t="s">
        <v>23</v>
      </c>
      <c r="I36" s="22" t="s">
        <v>37</v>
      </c>
      <c r="J36" s="22" t="s">
        <v>36</v>
      </c>
      <c r="K36" s="22" t="s">
        <v>35</v>
      </c>
      <c r="L36" s="22" t="s">
        <v>5</v>
      </c>
      <c r="M36" s="22" t="s">
        <v>25</v>
      </c>
      <c r="N36" s="22" t="s">
        <v>26</v>
      </c>
      <c r="O36" s="22" t="s">
        <v>2</v>
      </c>
      <c r="P36" s="22" t="s">
        <v>3</v>
      </c>
      <c r="Q36" s="22" t="s">
        <v>29</v>
      </c>
      <c r="R36" s="22" t="s">
        <v>38</v>
      </c>
      <c r="S36" s="22" t="s">
        <v>10</v>
      </c>
      <c r="T36" s="22" t="s">
        <v>13</v>
      </c>
      <c r="U36" s="22" t="s">
        <v>39</v>
      </c>
      <c r="V36" s="22" t="s">
        <v>8</v>
      </c>
      <c r="W36" s="22" t="s">
        <v>1</v>
      </c>
      <c r="X36" s="22" t="s">
        <v>9</v>
      </c>
      <c r="Y36" s="22" t="s">
        <v>31</v>
      </c>
      <c r="Z36" s="22" t="s">
        <v>30</v>
      </c>
      <c r="AA36" s="22" t="s">
        <v>6</v>
      </c>
      <c r="AB36" s="22" t="s">
        <v>17</v>
      </c>
      <c r="AC36" s="22" t="s">
        <v>22</v>
      </c>
      <c r="AD36" s="22" t="s">
        <v>19</v>
      </c>
      <c r="AE36" s="22" t="s">
        <v>7</v>
      </c>
      <c r="AF36" s="22" t="s">
        <v>15</v>
      </c>
      <c r="AG36" s="22" t="s">
        <v>14</v>
      </c>
      <c r="AH36" s="22" t="s">
        <v>18</v>
      </c>
      <c r="AI36" s="22" t="s">
        <v>28</v>
      </c>
      <c r="AJ36" s="22" t="s">
        <v>21</v>
      </c>
      <c r="AK36" s="22" t="s">
        <v>34</v>
      </c>
      <c r="AL36" s="22" t="s">
        <v>16</v>
      </c>
      <c r="AM36" s="22" t="s">
        <v>12</v>
      </c>
    </row>
    <row r="37" spans="1:39" ht="13.15" hidden="1" outlineLevel="1">
      <c r="A37" s="2" t="s">
        <v>36</v>
      </c>
      <c r="B37" s="21" t="s">
        <v>34</v>
      </c>
      <c r="C37" s="22" t="s">
        <v>35</v>
      </c>
      <c r="D37" s="22" t="s">
        <v>5</v>
      </c>
      <c r="E37" s="22" t="s">
        <v>18</v>
      </c>
      <c r="F37" s="22" t="s">
        <v>19</v>
      </c>
      <c r="G37" s="22" t="s">
        <v>21</v>
      </c>
      <c r="H37" s="22" t="s">
        <v>33</v>
      </c>
      <c r="I37" s="22" t="s">
        <v>26</v>
      </c>
      <c r="J37" s="22" t="s">
        <v>4</v>
      </c>
      <c r="K37" s="22" t="s">
        <v>30</v>
      </c>
      <c r="L37" s="22" t="s">
        <v>37</v>
      </c>
      <c r="M37" s="22" t="s">
        <v>28</v>
      </c>
      <c r="N37" s="22" t="s">
        <v>6</v>
      </c>
      <c r="O37" s="22" t="s">
        <v>0</v>
      </c>
      <c r="P37" s="22" t="s">
        <v>9</v>
      </c>
      <c r="Q37" s="22" t="s">
        <v>10</v>
      </c>
      <c r="R37" s="22" t="s">
        <v>27</v>
      </c>
      <c r="S37" s="22" t="s">
        <v>29</v>
      </c>
      <c r="T37" s="22" t="s">
        <v>38</v>
      </c>
      <c r="U37" s="22" t="s">
        <v>24</v>
      </c>
      <c r="V37" s="22" t="s">
        <v>22</v>
      </c>
      <c r="W37" s="22" t="s">
        <v>25</v>
      </c>
      <c r="X37" s="22" t="s">
        <v>3</v>
      </c>
      <c r="Y37" s="22" t="s">
        <v>12</v>
      </c>
      <c r="Z37" s="22" t="s">
        <v>16</v>
      </c>
      <c r="AA37" s="22" t="s">
        <v>1</v>
      </c>
      <c r="AB37" s="22" t="s">
        <v>7</v>
      </c>
      <c r="AC37" s="22" t="s">
        <v>23</v>
      </c>
      <c r="AD37" s="22" t="s">
        <v>11</v>
      </c>
      <c r="AE37" s="22" t="s">
        <v>17</v>
      </c>
      <c r="AF37" s="22" t="s">
        <v>13</v>
      </c>
      <c r="AG37" s="22" t="s">
        <v>20</v>
      </c>
      <c r="AH37" s="22" t="s">
        <v>2</v>
      </c>
      <c r="AI37" s="22" t="s">
        <v>15</v>
      </c>
      <c r="AJ37" s="22" t="s">
        <v>32</v>
      </c>
      <c r="AK37" s="22" t="s">
        <v>39</v>
      </c>
      <c r="AL37" s="22" t="s">
        <v>8</v>
      </c>
      <c r="AM37" s="22" t="s">
        <v>31</v>
      </c>
    </row>
    <row r="38" spans="1:39" ht="13.15" hidden="1" outlineLevel="1">
      <c r="A38" s="2" t="s">
        <v>24</v>
      </c>
      <c r="B38" s="21" t="s">
        <v>4</v>
      </c>
      <c r="C38" s="22" t="s">
        <v>10</v>
      </c>
      <c r="D38" s="22" t="s">
        <v>9</v>
      </c>
      <c r="E38" s="22" t="s">
        <v>36</v>
      </c>
      <c r="F38" s="22" t="s">
        <v>13</v>
      </c>
      <c r="G38" s="22" t="s">
        <v>8</v>
      </c>
      <c r="H38" s="22" t="s">
        <v>28</v>
      </c>
      <c r="I38" s="22" t="s">
        <v>6</v>
      </c>
      <c r="J38" s="22" t="s">
        <v>26</v>
      </c>
      <c r="K38" s="22" t="s">
        <v>21</v>
      </c>
      <c r="L38" s="22" t="s">
        <v>19</v>
      </c>
      <c r="M38" s="22" t="s">
        <v>35</v>
      </c>
      <c r="N38" s="22" t="s">
        <v>5</v>
      </c>
      <c r="O38" s="22" t="s">
        <v>37</v>
      </c>
      <c r="P38" s="22" t="s">
        <v>38</v>
      </c>
      <c r="Q38" s="22" t="s">
        <v>2</v>
      </c>
      <c r="R38" s="22" t="s">
        <v>12</v>
      </c>
      <c r="S38" s="22" t="s">
        <v>0</v>
      </c>
      <c r="T38" s="22" t="s">
        <v>33</v>
      </c>
      <c r="U38" s="22" t="s">
        <v>14</v>
      </c>
      <c r="V38" s="22" t="s">
        <v>32</v>
      </c>
      <c r="W38" s="22" t="s">
        <v>30</v>
      </c>
      <c r="X38" s="22" t="s">
        <v>27</v>
      </c>
      <c r="Y38" s="22" t="s">
        <v>39</v>
      </c>
      <c r="Z38" s="22" t="s">
        <v>1</v>
      </c>
      <c r="AA38" s="22" t="s">
        <v>11</v>
      </c>
      <c r="AB38" s="22" t="s">
        <v>23</v>
      </c>
      <c r="AC38" s="22" t="s">
        <v>25</v>
      </c>
      <c r="AD38" s="22" t="s">
        <v>15</v>
      </c>
      <c r="AE38" s="22" t="s">
        <v>22</v>
      </c>
      <c r="AF38" s="22" t="s">
        <v>3</v>
      </c>
      <c r="AG38" s="22" t="s">
        <v>7</v>
      </c>
      <c r="AH38" s="22" t="s">
        <v>20</v>
      </c>
      <c r="AI38" s="22" t="s">
        <v>31</v>
      </c>
      <c r="AJ38" s="22" t="s">
        <v>16</v>
      </c>
      <c r="AK38" s="22" t="s">
        <v>17</v>
      </c>
      <c r="AL38" s="22" t="s">
        <v>29</v>
      </c>
      <c r="AM38" s="22" t="s">
        <v>34</v>
      </c>
    </row>
    <row r="39" spans="1:39" ht="13.15" hidden="1" outlineLevel="1">
      <c r="A39" s="2" t="s">
        <v>5</v>
      </c>
      <c r="B39" s="21" t="s">
        <v>3</v>
      </c>
      <c r="C39" s="22" t="s">
        <v>29</v>
      </c>
      <c r="D39" s="22" t="s">
        <v>14</v>
      </c>
      <c r="E39" s="22" t="s">
        <v>30</v>
      </c>
      <c r="F39" s="22" t="s">
        <v>39</v>
      </c>
      <c r="G39" s="22" t="s">
        <v>26</v>
      </c>
      <c r="H39" s="22" t="s">
        <v>19</v>
      </c>
      <c r="I39" s="22" t="s">
        <v>16</v>
      </c>
      <c r="J39" s="22" t="s">
        <v>11</v>
      </c>
      <c r="K39" s="22" t="s">
        <v>32</v>
      </c>
      <c r="L39" s="22" t="s">
        <v>4</v>
      </c>
      <c r="M39" s="22" t="s">
        <v>23</v>
      </c>
      <c r="N39" s="22" t="s">
        <v>18</v>
      </c>
      <c r="O39" s="22" t="s">
        <v>35</v>
      </c>
      <c r="P39" s="22" t="s">
        <v>17</v>
      </c>
      <c r="Q39" s="22" t="s">
        <v>33</v>
      </c>
      <c r="R39" s="22" t="s">
        <v>34</v>
      </c>
      <c r="S39" s="22" t="s">
        <v>8</v>
      </c>
      <c r="T39" s="22" t="s">
        <v>31</v>
      </c>
      <c r="U39" s="22" t="s">
        <v>13</v>
      </c>
      <c r="V39" s="22" t="s">
        <v>36</v>
      </c>
      <c r="W39" s="22" t="s">
        <v>0</v>
      </c>
      <c r="X39" s="22" t="s">
        <v>7</v>
      </c>
      <c r="Y39" s="22" t="s">
        <v>27</v>
      </c>
      <c r="Z39" s="22" t="s">
        <v>10</v>
      </c>
      <c r="AA39" s="22" t="s">
        <v>25</v>
      </c>
      <c r="AB39" s="22" t="s">
        <v>38</v>
      </c>
      <c r="AC39" s="22" t="s">
        <v>20</v>
      </c>
      <c r="AD39" s="22" t="s">
        <v>6</v>
      </c>
      <c r="AE39" s="22" t="s">
        <v>24</v>
      </c>
      <c r="AF39" s="22" t="s">
        <v>9</v>
      </c>
      <c r="AG39" s="22" t="s">
        <v>28</v>
      </c>
      <c r="AH39" s="22" t="s">
        <v>21</v>
      </c>
      <c r="AI39" s="22" t="s">
        <v>12</v>
      </c>
      <c r="AJ39" s="22" t="s">
        <v>37</v>
      </c>
      <c r="AK39" s="22" t="s">
        <v>15</v>
      </c>
      <c r="AL39" s="22" t="s">
        <v>2</v>
      </c>
      <c r="AM39" s="22" t="s">
        <v>1</v>
      </c>
    </row>
    <row r="40" spans="1:39" ht="13.15" hidden="1" outlineLevel="1">
      <c r="A40" s="2" t="s">
        <v>15</v>
      </c>
      <c r="B40" s="21" t="s">
        <v>7</v>
      </c>
      <c r="C40" s="22" t="s">
        <v>36</v>
      </c>
      <c r="D40" s="22" t="s">
        <v>28</v>
      </c>
      <c r="E40" s="22" t="s">
        <v>16</v>
      </c>
      <c r="F40" s="22" t="s">
        <v>12</v>
      </c>
      <c r="G40" s="22" t="s">
        <v>25</v>
      </c>
      <c r="H40" s="22" t="s">
        <v>27</v>
      </c>
      <c r="I40" s="22" t="s">
        <v>1</v>
      </c>
      <c r="J40" s="22" t="s">
        <v>13</v>
      </c>
      <c r="K40" s="22" t="s">
        <v>20</v>
      </c>
      <c r="L40" s="22" t="s">
        <v>31</v>
      </c>
      <c r="M40" s="22" t="s">
        <v>24</v>
      </c>
      <c r="N40" s="22" t="s">
        <v>2</v>
      </c>
      <c r="O40" s="22" t="s">
        <v>5</v>
      </c>
      <c r="P40" s="22" t="s">
        <v>39</v>
      </c>
      <c r="Q40" s="22" t="s">
        <v>32</v>
      </c>
      <c r="R40" s="22" t="s">
        <v>6</v>
      </c>
      <c r="S40" s="22" t="s">
        <v>37</v>
      </c>
      <c r="T40" s="22" t="s">
        <v>3</v>
      </c>
      <c r="U40" s="22" t="s">
        <v>38</v>
      </c>
      <c r="V40" s="22" t="s">
        <v>11</v>
      </c>
      <c r="W40" s="22" t="s">
        <v>29</v>
      </c>
      <c r="X40" s="22" t="s">
        <v>19</v>
      </c>
      <c r="Y40" s="22" t="s">
        <v>17</v>
      </c>
      <c r="Z40" s="22" t="s">
        <v>21</v>
      </c>
      <c r="AA40" s="22" t="s">
        <v>8</v>
      </c>
      <c r="AB40" s="22" t="s">
        <v>33</v>
      </c>
      <c r="AC40" s="22" t="s">
        <v>34</v>
      </c>
      <c r="AD40" s="22" t="s">
        <v>18</v>
      </c>
      <c r="AE40" s="22" t="s">
        <v>10</v>
      </c>
      <c r="AF40" s="22" t="s">
        <v>4</v>
      </c>
      <c r="AG40" s="22" t="s">
        <v>30</v>
      </c>
      <c r="AH40" s="22" t="s">
        <v>26</v>
      </c>
      <c r="AI40" s="22" t="s">
        <v>14</v>
      </c>
      <c r="AJ40" s="22" t="s">
        <v>0</v>
      </c>
      <c r="AK40" s="22" t="s">
        <v>22</v>
      </c>
      <c r="AL40" s="22" t="s">
        <v>23</v>
      </c>
      <c r="AM40" s="22" t="s">
        <v>9</v>
      </c>
    </row>
    <row r="41" spans="1:39" ht="15.75" hidden="1" customHeight="1" outlineLevel="1">
      <c r="A41" s="2" t="s">
        <v>28</v>
      </c>
      <c r="B41" s="21" t="s">
        <v>6</v>
      </c>
      <c r="C41" s="22" t="s">
        <v>20</v>
      </c>
      <c r="D41" s="22" t="s">
        <v>35</v>
      </c>
      <c r="E41" s="22" t="s">
        <v>8</v>
      </c>
      <c r="F41" s="22" t="s">
        <v>9</v>
      </c>
      <c r="G41" s="22" t="s">
        <v>10</v>
      </c>
      <c r="H41" s="22" t="s">
        <v>18</v>
      </c>
      <c r="I41" s="22" t="s">
        <v>12</v>
      </c>
      <c r="J41" s="22" t="s">
        <v>5</v>
      </c>
      <c r="K41" s="22" t="s">
        <v>16</v>
      </c>
      <c r="L41" s="22" t="s">
        <v>0</v>
      </c>
      <c r="M41" s="22" t="s">
        <v>14</v>
      </c>
      <c r="N41" s="22" t="s">
        <v>19</v>
      </c>
      <c r="O41" s="22" t="s">
        <v>21</v>
      </c>
      <c r="P41" s="22" t="s">
        <v>26</v>
      </c>
      <c r="Q41" s="22" t="s">
        <v>37</v>
      </c>
      <c r="R41" s="22" t="s">
        <v>1</v>
      </c>
      <c r="S41" s="22" t="s">
        <v>30</v>
      </c>
      <c r="T41" s="22" t="s">
        <v>2</v>
      </c>
      <c r="U41" s="22" t="s">
        <v>27</v>
      </c>
      <c r="V41" s="22" t="s">
        <v>15</v>
      </c>
      <c r="W41" s="22" t="s">
        <v>32</v>
      </c>
      <c r="X41" s="22" t="s">
        <v>31</v>
      </c>
      <c r="Y41" s="22" t="s">
        <v>13</v>
      </c>
      <c r="Z41" s="22" t="s">
        <v>34</v>
      </c>
      <c r="AA41" s="22" t="s">
        <v>24</v>
      </c>
      <c r="AB41" s="22" t="s">
        <v>29</v>
      </c>
      <c r="AC41" s="22" t="s">
        <v>39</v>
      </c>
      <c r="AD41" s="22" t="s">
        <v>36</v>
      </c>
      <c r="AE41" s="22" t="s">
        <v>25</v>
      </c>
      <c r="AF41" s="22" t="s">
        <v>38</v>
      </c>
      <c r="AG41" s="22" t="s">
        <v>22</v>
      </c>
      <c r="AH41" s="22" t="s">
        <v>23</v>
      </c>
      <c r="AI41" s="22" t="s">
        <v>4</v>
      </c>
      <c r="AJ41" s="22" t="s">
        <v>7</v>
      </c>
      <c r="AK41" s="22" t="s">
        <v>3</v>
      </c>
      <c r="AL41" s="22" t="s">
        <v>33</v>
      </c>
      <c r="AM41" s="22" t="s">
        <v>17</v>
      </c>
    </row>
    <row r="42" spans="1:39" ht="15.75" hidden="1" customHeight="1" outlineLevel="1">
      <c r="A42" s="2" t="s">
        <v>12</v>
      </c>
      <c r="B42" s="21" t="s">
        <v>27</v>
      </c>
      <c r="C42" s="22" t="s">
        <v>5</v>
      </c>
      <c r="D42" s="22" t="s">
        <v>7</v>
      </c>
      <c r="E42" s="22" t="s">
        <v>10</v>
      </c>
      <c r="F42" s="22" t="s">
        <v>35</v>
      </c>
      <c r="G42" s="22" t="s">
        <v>34</v>
      </c>
      <c r="H42" s="22" t="s">
        <v>17</v>
      </c>
      <c r="I42" s="22" t="s">
        <v>11</v>
      </c>
      <c r="J42" s="22" t="s">
        <v>3</v>
      </c>
      <c r="K42" s="22" t="s">
        <v>25</v>
      </c>
      <c r="L42" s="22" t="s">
        <v>38</v>
      </c>
      <c r="M42" s="22" t="s">
        <v>39</v>
      </c>
      <c r="N42" s="22" t="s">
        <v>1</v>
      </c>
      <c r="O42" s="22" t="s">
        <v>23</v>
      </c>
      <c r="P42" s="22" t="s">
        <v>13</v>
      </c>
      <c r="Q42" s="22" t="s">
        <v>20</v>
      </c>
      <c r="R42" s="22" t="s">
        <v>18</v>
      </c>
      <c r="S42" s="22" t="s">
        <v>36</v>
      </c>
      <c r="T42" s="22" t="s">
        <v>9</v>
      </c>
      <c r="U42" s="22" t="s">
        <v>31</v>
      </c>
      <c r="V42" s="22" t="s">
        <v>26</v>
      </c>
      <c r="W42" s="22" t="s">
        <v>15</v>
      </c>
      <c r="X42" s="22" t="s">
        <v>2</v>
      </c>
      <c r="Y42" s="22" t="s">
        <v>14</v>
      </c>
      <c r="Z42" s="22" t="s">
        <v>32</v>
      </c>
      <c r="AA42" s="22" t="s">
        <v>37</v>
      </c>
      <c r="AB42" s="22" t="s">
        <v>28</v>
      </c>
      <c r="AC42" s="22" t="s">
        <v>33</v>
      </c>
      <c r="AD42" s="22" t="s">
        <v>0</v>
      </c>
      <c r="AE42" s="22" t="s">
        <v>16</v>
      </c>
      <c r="AF42" s="22" t="s">
        <v>19</v>
      </c>
      <c r="AG42" s="22" t="s">
        <v>21</v>
      </c>
      <c r="AH42" s="22" t="s">
        <v>8</v>
      </c>
      <c r="AI42" s="22" t="s">
        <v>22</v>
      </c>
      <c r="AJ42" s="22" t="s">
        <v>30</v>
      </c>
      <c r="AK42" s="22" t="s">
        <v>6</v>
      </c>
      <c r="AL42" s="22" t="s">
        <v>24</v>
      </c>
      <c r="AM42" s="22" t="s">
        <v>4</v>
      </c>
    </row>
    <row r="43" spans="1:39" ht="15.75" hidden="1" customHeight="1" outlineLevel="1">
      <c r="A43" s="2" t="s">
        <v>32</v>
      </c>
      <c r="B43" s="21" t="s">
        <v>31</v>
      </c>
      <c r="C43" s="22" t="s">
        <v>30</v>
      </c>
      <c r="D43" s="22" t="s">
        <v>24</v>
      </c>
      <c r="E43" s="22" t="s">
        <v>37</v>
      </c>
      <c r="F43" s="22" t="s">
        <v>28</v>
      </c>
      <c r="G43" s="22" t="s">
        <v>4</v>
      </c>
      <c r="H43" s="22" t="s">
        <v>34</v>
      </c>
      <c r="I43" s="22" t="s">
        <v>25</v>
      </c>
      <c r="J43" s="22" t="s">
        <v>0</v>
      </c>
      <c r="K43" s="22" t="s">
        <v>22</v>
      </c>
      <c r="L43" s="22" t="s">
        <v>1</v>
      </c>
      <c r="M43" s="22" t="s">
        <v>7</v>
      </c>
      <c r="N43" s="22" t="s">
        <v>8</v>
      </c>
      <c r="O43" s="22" t="s">
        <v>16</v>
      </c>
      <c r="P43" s="22" t="s">
        <v>36</v>
      </c>
      <c r="Q43" s="22" t="s">
        <v>35</v>
      </c>
      <c r="R43" s="22" t="s">
        <v>3</v>
      </c>
      <c r="S43" s="22" t="s">
        <v>6</v>
      </c>
      <c r="T43" s="22" t="s">
        <v>12</v>
      </c>
      <c r="U43" s="22" t="s">
        <v>17</v>
      </c>
      <c r="V43" s="22" t="s">
        <v>18</v>
      </c>
      <c r="W43" s="22" t="s">
        <v>11</v>
      </c>
      <c r="X43" s="22" t="s">
        <v>20</v>
      </c>
      <c r="Y43" s="22" t="s">
        <v>23</v>
      </c>
      <c r="Z43" s="22" t="s">
        <v>29</v>
      </c>
      <c r="AA43" s="22" t="s">
        <v>2</v>
      </c>
      <c r="AB43" s="22" t="s">
        <v>19</v>
      </c>
      <c r="AC43" s="22" t="s">
        <v>27</v>
      </c>
      <c r="AD43" s="22" t="s">
        <v>26</v>
      </c>
      <c r="AE43" s="22" t="s">
        <v>33</v>
      </c>
      <c r="AF43" s="22" t="s">
        <v>5</v>
      </c>
      <c r="AG43" s="22" t="s">
        <v>39</v>
      </c>
      <c r="AH43" s="22" t="s">
        <v>10</v>
      </c>
      <c r="AI43" s="22" t="s">
        <v>13</v>
      </c>
      <c r="AJ43" s="22" t="s">
        <v>14</v>
      </c>
      <c r="AK43" s="22" t="s">
        <v>38</v>
      </c>
      <c r="AL43" s="22" t="s">
        <v>21</v>
      </c>
      <c r="AM43" s="22" t="s">
        <v>15</v>
      </c>
    </row>
    <row r="44" spans="1:39" ht="15.75" hidden="1" customHeight="1" outlineLevel="1">
      <c r="A44" s="2" t="s">
        <v>30</v>
      </c>
      <c r="B44" s="21" t="s">
        <v>17</v>
      </c>
      <c r="C44" s="22" t="s">
        <v>9</v>
      </c>
      <c r="D44" s="22" t="s">
        <v>23</v>
      </c>
      <c r="E44" s="22" t="s">
        <v>22</v>
      </c>
      <c r="F44" s="22" t="s">
        <v>24</v>
      </c>
      <c r="G44" s="22" t="s">
        <v>16</v>
      </c>
      <c r="H44" s="22" t="s">
        <v>10</v>
      </c>
      <c r="I44" s="22" t="s">
        <v>2</v>
      </c>
      <c r="J44" s="22" t="s">
        <v>15</v>
      </c>
      <c r="K44" s="22" t="s">
        <v>14</v>
      </c>
      <c r="L44" s="22" t="s">
        <v>26</v>
      </c>
      <c r="M44" s="22" t="s">
        <v>27</v>
      </c>
      <c r="N44" s="22" t="s">
        <v>0</v>
      </c>
      <c r="O44" s="22" t="s">
        <v>33</v>
      </c>
      <c r="P44" s="22" t="s">
        <v>12</v>
      </c>
      <c r="Q44" s="22" t="s">
        <v>21</v>
      </c>
      <c r="R44" s="22" t="s">
        <v>19</v>
      </c>
      <c r="S44" s="22" t="s">
        <v>11</v>
      </c>
      <c r="T44" s="22" t="s">
        <v>20</v>
      </c>
      <c r="U44" s="22" t="s">
        <v>5</v>
      </c>
      <c r="V44" s="22" t="s">
        <v>6</v>
      </c>
      <c r="W44" s="22" t="s">
        <v>18</v>
      </c>
      <c r="X44" s="22" t="s">
        <v>38</v>
      </c>
      <c r="Y44" s="22" t="s">
        <v>28</v>
      </c>
      <c r="Z44" s="22" t="s">
        <v>4</v>
      </c>
      <c r="AA44" s="22" t="s">
        <v>31</v>
      </c>
      <c r="AB44" s="22" t="s">
        <v>34</v>
      </c>
      <c r="AC44" s="22" t="s">
        <v>7</v>
      </c>
      <c r="AD44" s="22" t="s">
        <v>8</v>
      </c>
      <c r="AE44" s="22" t="s">
        <v>39</v>
      </c>
      <c r="AF44" s="22" t="s">
        <v>36</v>
      </c>
      <c r="AG44" s="22" t="s">
        <v>35</v>
      </c>
      <c r="AH44" s="22" t="s">
        <v>37</v>
      </c>
      <c r="AI44" s="22" t="s">
        <v>32</v>
      </c>
      <c r="AJ44" s="22" t="s">
        <v>29</v>
      </c>
      <c r="AK44" s="22" t="s">
        <v>1</v>
      </c>
      <c r="AL44" s="22" t="s">
        <v>25</v>
      </c>
      <c r="AM44" s="22" t="s">
        <v>3</v>
      </c>
    </row>
    <row r="45" spans="1:39" ht="15.75" hidden="1" customHeight="1" outlineLevel="1" thickBot="1">
      <c r="A45" s="3" t="s">
        <v>1</v>
      </c>
      <c r="B45" s="21" t="s">
        <v>39</v>
      </c>
      <c r="C45" s="22" t="s">
        <v>26</v>
      </c>
      <c r="D45" s="22" t="s">
        <v>19</v>
      </c>
      <c r="E45" s="22" t="s">
        <v>21</v>
      </c>
      <c r="F45" s="22" t="s">
        <v>20</v>
      </c>
      <c r="G45" s="22" t="s">
        <v>37</v>
      </c>
      <c r="H45" s="22" t="s">
        <v>36</v>
      </c>
      <c r="I45" s="22" t="s">
        <v>35</v>
      </c>
      <c r="J45" s="22" t="s">
        <v>2</v>
      </c>
      <c r="K45" s="22" t="s">
        <v>23</v>
      </c>
      <c r="L45" s="22" t="s">
        <v>9</v>
      </c>
      <c r="M45" s="22" t="s">
        <v>10</v>
      </c>
      <c r="N45" s="22" t="s">
        <v>29</v>
      </c>
      <c r="O45" s="22" t="s">
        <v>30</v>
      </c>
      <c r="P45" s="22" t="s">
        <v>27</v>
      </c>
      <c r="Q45" s="22" t="s">
        <v>5</v>
      </c>
      <c r="R45" s="22" t="s">
        <v>11</v>
      </c>
      <c r="S45" s="22" t="s">
        <v>16</v>
      </c>
      <c r="T45" s="22" t="s">
        <v>24</v>
      </c>
      <c r="U45" s="22" t="s">
        <v>3</v>
      </c>
      <c r="V45" s="22" t="s">
        <v>25</v>
      </c>
      <c r="W45" s="22" t="s">
        <v>4</v>
      </c>
      <c r="X45" s="22" t="s">
        <v>17</v>
      </c>
      <c r="Y45" s="22" t="s">
        <v>38</v>
      </c>
      <c r="Z45" s="22" t="s">
        <v>18</v>
      </c>
      <c r="AA45" s="22" t="s">
        <v>14</v>
      </c>
      <c r="AB45" s="22" t="s">
        <v>15</v>
      </c>
      <c r="AC45" s="22" t="s">
        <v>12</v>
      </c>
      <c r="AD45" s="22" t="s">
        <v>31</v>
      </c>
      <c r="AE45" s="22" t="s">
        <v>32</v>
      </c>
      <c r="AF45" s="22" t="s">
        <v>6</v>
      </c>
      <c r="AG45" s="22" t="s">
        <v>34</v>
      </c>
      <c r="AH45" s="22" t="s">
        <v>0</v>
      </c>
      <c r="AI45" s="22" t="s">
        <v>7</v>
      </c>
      <c r="AJ45" s="22" t="s">
        <v>8</v>
      </c>
      <c r="AK45" s="22" t="s">
        <v>13</v>
      </c>
      <c r="AL45" s="22" t="s">
        <v>28</v>
      </c>
      <c r="AM45" s="22" t="s">
        <v>22</v>
      </c>
    </row>
    <row r="46" spans="1:39" ht="15.75" hidden="1" customHeight="1" outlineLevel="1">
      <c r="A46" s="27" t="s">
        <v>40</v>
      </c>
      <c r="B46" s="1"/>
    </row>
    <row r="47" spans="1:39" ht="15.75" hidden="1" customHeight="1" outlineLevel="1">
      <c r="B47" s="1"/>
    </row>
    <row r="48" spans="1:39" ht="15.75" hidden="1" customHeight="1" outlineLevel="1" thickBot="1">
      <c r="B48" s="1"/>
    </row>
    <row r="49" spans="1:39" ht="15.75" hidden="1" customHeight="1" outlineLevel="1" thickBot="1">
      <c r="A49" s="23"/>
      <c r="B49" s="24">
        <v>1</v>
      </c>
      <c r="C49" s="25">
        <v>2</v>
      </c>
      <c r="D49" s="25">
        <v>3</v>
      </c>
      <c r="E49" s="25">
        <v>4</v>
      </c>
      <c r="F49" s="25">
        <v>5</v>
      </c>
      <c r="G49" s="25">
        <v>6</v>
      </c>
      <c r="H49" s="25">
        <v>7</v>
      </c>
      <c r="I49" s="25">
        <v>8</v>
      </c>
      <c r="J49" s="25">
        <v>9</v>
      </c>
      <c r="K49" s="25">
        <v>10</v>
      </c>
      <c r="L49" s="25">
        <v>11</v>
      </c>
      <c r="M49" s="25">
        <v>12</v>
      </c>
      <c r="N49" s="25">
        <v>13</v>
      </c>
      <c r="O49" s="25">
        <v>14</v>
      </c>
      <c r="P49" s="25">
        <v>15</v>
      </c>
      <c r="Q49" s="25">
        <v>16</v>
      </c>
      <c r="R49" s="25">
        <v>17</v>
      </c>
      <c r="S49" s="25">
        <v>18</v>
      </c>
      <c r="T49" s="25">
        <v>19</v>
      </c>
      <c r="U49" s="25">
        <v>20</v>
      </c>
      <c r="V49" s="25">
        <v>21</v>
      </c>
      <c r="W49" s="25">
        <v>22</v>
      </c>
      <c r="X49" s="25">
        <v>23</v>
      </c>
      <c r="Y49" s="25">
        <v>24</v>
      </c>
      <c r="Z49" s="25">
        <v>25</v>
      </c>
      <c r="AA49" s="25">
        <v>26</v>
      </c>
      <c r="AB49" s="25">
        <v>27</v>
      </c>
      <c r="AC49" s="25">
        <v>28</v>
      </c>
      <c r="AD49" s="25">
        <v>29</v>
      </c>
      <c r="AE49" s="25">
        <v>30</v>
      </c>
      <c r="AF49" s="25">
        <v>31</v>
      </c>
      <c r="AG49" s="25">
        <v>32</v>
      </c>
      <c r="AH49" s="25">
        <v>33</v>
      </c>
      <c r="AI49" s="25">
        <v>34</v>
      </c>
      <c r="AJ49" s="25">
        <v>35</v>
      </c>
      <c r="AK49" s="25">
        <v>36</v>
      </c>
      <c r="AL49" s="25">
        <v>37</v>
      </c>
      <c r="AM49" s="26">
        <v>38</v>
      </c>
    </row>
    <row r="50" spans="1:39" ht="15.75" hidden="1" customHeight="1" outlineLevel="1">
      <c r="A50" s="4" t="s">
        <v>0</v>
      </c>
      <c r="B50" s="19" t="str">
        <f t="shared" ref="B50:AM50" si="5">VLOOKUP((VLOOKUP($A26,SEEDS,2)&amp;VLOOKUP(B26,SEEDS,2)&amp;(IF(EXACT(B26,UPPER(B26)),"H","A"))),DIFF,2,FALSE)</f>
        <v>B</v>
      </c>
      <c r="C50" s="19" t="str">
        <f t="shared" si="5"/>
        <v>C</v>
      </c>
      <c r="D50" s="19" t="str">
        <f t="shared" si="5"/>
        <v>C</v>
      </c>
      <c r="E50" s="19" t="str">
        <f t="shared" si="5"/>
        <v>B</v>
      </c>
      <c r="F50" s="19" t="str">
        <f t="shared" si="5"/>
        <v>C</v>
      </c>
      <c r="G50" s="19" t="str">
        <f t="shared" si="5"/>
        <v>D</v>
      </c>
      <c r="H50" s="19" t="str">
        <f t="shared" si="5"/>
        <v>B</v>
      </c>
      <c r="I50" s="19" t="str">
        <f t="shared" si="5"/>
        <v>D</v>
      </c>
      <c r="J50" s="19" t="str">
        <f t="shared" si="5"/>
        <v>B</v>
      </c>
      <c r="K50" s="19" t="str">
        <f t="shared" si="5"/>
        <v>C</v>
      </c>
      <c r="L50" s="19" t="str">
        <f t="shared" si="5"/>
        <v>C</v>
      </c>
      <c r="M50" s="19" t="str">
        <f t="shared" si="5"/>
        <v>C</v>
      </c>
      <c r="N50" s="19" t="str">
        <f t="shared" si="5"/>
        <v>C</v>
      </c>
      <c r="O50" s="19" t="str">
        <f t="shared" si="5"/>
        <v>B</v>
      </c>
      <c r="P50" s="19" t="str">
        <f t="shared" si="5"/>
        <v>A</v>
      </c>
      <c r="Q50" s="19" t="str">
        <f t="shared" si="5"/>
        <v>C</v>
      </c>
      <c r="R50" s="19" t="str">
        <f t="shared" si="5"/>
        <v>D</v>
      </c>
      <c r="S50" s="19" t="str">
        <f t="shared" si="5"/>
        <v>C</v>
      </c>
      <c r="T50" s="19" t="str">
        <f t="shared" si="5"/>
        <v>A</v>
      </c>
      <c r="U50" s="19" t="str">
        <f t="shared" si="5"/>
        <v>A</v>
      </c>
      <c r="V50" s="19" t="str">
        <f t="shared" si="5"/>
        <v>C</v>
      </c>
      <c r="W50" s="19" t="str">
        <f t="shared" si="5"/>
        <v>C</v>
      </c>
      <c r="X50" s="19" t="str">
        <f t="shared" si="5"/>
        <v>D</v>
      </c>
      <c r="Y50" s="19" t="str">
        <f t="shared" si="5"/>
        <v>C</v>
      </c>
      <c r="Z50" s="19" t="str">
        <f t="shared" si="5"/>
        <v>B</v>
      </c>
      <c r="AA50" s="19" t="str">
        <f t="shared" si="5"/>
        <v>A</v>
      </c>
      <c r="AB50" s="19" t="str">
        <f t="shared" si="5"/>
        <v>D</v>
      </c>
      <c r="AC50" s="19" t="str">
        <f t="shared" si="5"/>
        <v>C</v>
      </c>
      <c r="AD50" s="19" t="str">
        <f t="shared" si="5"/>
        <v>C</v>
      </c>
      <c r="AE50" s="19" t="str">
        <f t="shared" si="5"/>
        <v>B</v>
      </c>
      <c r="AF50" s="19" t="str">
        <f t="shared" si="5"/>
        <v>C</v>
      </c>
      <c r="AG50" s="19" t="str">
        <f t="shared" si="5"/>
        <v>A</v>
      </c>
      <c r="AH50" s="19" t="str">
        <f t="shared" si="5"/>
        <v>C</v>
      </c>
      <c r="AI50" s="19" t="str">
        <f t="shared" si="5"/>
        <v>B</v>
      </c>
      <c r="AJ50" s="19" t="str">
        <f t="shared" si="5"/>
        <v>B</v>
      </c>
      <c r="AK50" s="19" t="str">
        <f t="shared" si="5"/>
        <v>A</v>
      </c>
      <c r="AL50" s="19" t="str">
        <f t="shared" si="5"/>
        <v>D</v>
      </c>
      <c r="AM50" s="19" t="str">
        <f t="shared" si="5"/>
        <v>B</v>
      </c>
    </row>
    <row r="51" spans="1:39" ht="15.75" hidden="1" customHeight="1" outlineLevel="1">
      <c r="A51" s="2" t="s">
        <v>38</v>
      </c>
      <c r="B51" s="19" t="str">
        <f t="shared" ref="B51:AM51" si="6">VLOOKUP((VLOOKUP($A27,SEEDS,2)&amp;VLOOKUP(B27,SEEDS,2)&amp;(IF(EXACT(B27,UPPER(B27)),"H","A"))),DIFF,2,FALSE)</f>
        <v>C</v>
      </c>
      <c r="C51" s="19" t="str">
        <f t="shared" si="6"/>
        <v>D</v>
      </c>
      <c r="D51" s="19" t="str">
        <f t="shared" si="6"/>
        <v>C</v>
      </c>
      <c r="E51" s="19" t="str">
        <f t="shared" si="6"/>
        <v>B</v>
      </c>
      <c r="F51" s="19" t="str">
        <f t="shared" si="6"/>
        <v>C</v>
      </c>
      <c r="G51" s="19" t="str">
        <f t="shared" si="6"/>
        <v>C</v>
      </c>
      <c r="H51" s="19" t="str">
        <f t="shared" si="6"/>
        <v>D</v>
      </c>
      <c r="I51" s="19" t="str">
        <f t="shared" si="6"/>
        <v>C</v>
      </c>
      <c r="J51" s="19" t="str">
        <f t="shared" si="6"/>
        <v>E</v>
      </c>
      <c r="K51" s="19" t="str">
        <f t="shared" si="6"/>
        <v>C</v>
      </c>
      <c r="L51" s="19" t="str">
        <f t="shared" si="6"/>
        <v>D</v>
      </c>
      <c r="M51" s="19" t="str">
        <f t="shared" si="6"/>
        <v>D</v>
      </c>
      <c r="N51" s="19" t="str">
        <f t="shared" si="6"/>
        <v>D</v>
      </c>
      <c r="O51" s="19" t="str">
        <f t="shared" si="6"/>
        <v>B</v>
      </c>
      <c r="P51" s="19" t="str">
        <f t="shared" si="6"/>
        <v>D</v>
      </c>
      <c r="Q51" s="19" t="str">
        <f t="shared" si="6"/>
        <v>D</v>
      </c>
      <c r="R51" s="19" t="str">
        <f t="shared" si="6"/>
        <v>C</v>
      </c>
      <c r="S51" s="19" t="str">
        <f t="shared" si="6"/>
        <v>C</v>
      </c>
      <c r="T51" s="19" t="str">
        <f t="shared" si="6"/>
        <v>C</v>
      </c>
      <c r="U51" s="19" t="str">
        <f t="shared" si="6"/>
        <v>C</v>
      </c>
      <c r="V51" s="19" t="str">
        <f t="shared" si="6"/>
        <v>C</v>
      </c>
      <c r="W51" s="19" t="str">
        <f t="shared" si="6"/>
        <v>B</v>
      </c>
      <c r="X51" s="19" t="str">
        <f t="shared" si="6"/>
        <v>C</v>
      </c>
      <c r="Y51" s="19" t="str">
        <f t="shared" si="6"/>
        <v>C</v>
      </c>
      <c r="Z51" s="19" t="str">
        <f t="shared" si="6"/>
        <v>B</v>
      </c>
      <c r="AA51" s="19" t="str">
        <f t="shared" si="6"/>
        <v>C</v>
      </c>
      <c r="AB51" s="19" t="str">
        <f t="shared" si="6"/>
        <v>D</v>
      </c>
      <c r="AC51" s="19" t="str">
        <f t="shared" si="6"/>
        <v>C</v>
      </c>
      <c r="AD51" s="19" t="str">
        <f t="shared" si="6"/>
        <v>E</v>
      </c>
      <c r="AE51" s="19" t="str">
        <f t="shared" si="6"/>
        <v>C</v>
      </c>
      <c r="AF51" s="19" t="str">
        <f t="shared" si="6"/>
        <v>D</v>
      </c>
      <c r="AG51" s="19" t="str">
        <f t="shared" si="6"/>
        <v>D</v>
      </c>
      <c r="AH51" s="19" t="str">
        <f t="shared" si="6"/>
        <v>B</v>
      </c>
      <c r="AI51" s="19" t="str">
        <f t="shared" si="6"/>
        <v>E</v>
      </c>
      <c r="AJ51" s="19" t="str">
        <f t="shared" si="6"/>
        <v>C</v>
      </c>
      <c r="AK51" s="19" t="str">
        <f t="shared" si="6"/>
        <v>C</v>
      </c>
      <c r="AL51" s="19" t="str">
        <f t="shared" si="6"/>
        <v>B</v>
      </c>
      <c r="AM51" s="19" t="str">
        <f t="shared" si="6"/>
        <v>E</v>
      </c>
    </row>
    <row r="52" spans="1:39" ht="15.75" hidden="1" customHeight="1" outlineLevel="1">
      <c r="A52" s="2" t="s">
        <v>19</v>
      </c>
      <c r="B52" s="19" t="str">
        <f t="shared" ref="B52:AM52" si="7">VLOOKUP((VLOOKUP($A28,SEEDS,2)&amp;VLOOKUP(B28,SEEDS,2)&amp;(IF(EXACT(B28,UPPER(B28)),"H","A"))),DIFF,2,FALSE)</f>
        <v>C</v>
      </c>
      <c r="C52" s="19" t="str">
        <f t="shared" si="7"/>
        <v>D</v>
      </c>
      <c r="D52" s="19" t="str">
        <f t="shared" si="7"/>
        <v>C</v>
      </c>
      <c r="E52" s="19" t="str">
        <f t="shared" si="7"/>
        <v>B</v>
      </c>
      <c r="F52" s="19" t="str">
        <f t="shared" si="7"/>
        <v>C</v>
      </c>
      <c r="G52" s="19" t="str">
        <f t="shared" si="7"/>
        <v>B</v>
      </c>
      <c r="H52" s="19" t="str">
        <f t="shared" si="7"/>
        <v>D</v>
      </c>
      <c r="I52" s="19" t="str">
        <f t="shared" si="7"/>
        <v>B</v>
      </c>
      <c r="J52" s="19" t="str">
        <f t="shared" si="7"/>
        <v>E</v>
      </c>
      <c r="K52" s="19" t="str">
        <f t="shared" si="7"/>
        <v>C</v>
      </c>
      <c r="L52" s="19" t="str">
        <f t="shared" si="7"/>
        <v>D</v>
      </c>
      <c r="M52" s="19" t="str">
        <f t="shared" si="7"/>
        <v>B</v>
      </c>
      <c r="N52" s="19" t="str">
        <f t="shared" si="7"/>
        <v>D</v>
      </c>
      <c r="O52" s="19" t="str">
        <f t="shared" si="7"/>
        <v>C</v>
      </c>
      <c r="P52" s="19" t="str">
        <f t="shared" si="7"/>
        <v>E</v>
      </c>
      <c r="Q52" s="19" t="str">
        <f t="shared" si="7"/>
        <v>D</v>
      </c>
      <c r="R52" s="19" t="str">
        <f t="shared" si="7"/>
        <v>C</v>
      </c>
      <c r="S52" s="19" t="str">
        <f t="shared" si="7"/>
        <v>C</v>
      </c>
      <c r="T52" s="19" t="str">
        <f t="shared" si="7"/>
        <v>E</v>
      </c>
      <c r="U52" s="19" t="str">
        <f t="shared" si="7"/>
        <v>C</v>
      </c>
      <c r="V52" s="19" t="str">
        <f t="shared" si="7"/>
        <v>C</v>
      </c>
      <c r="W52" s="19" t="str">
        <f t="shared" si="7"/>
        <v>B</v>
      </c>
      <c r="X52" s="19" t="str">
        <f t="shared" si="7"/>
        <v>C</v>
      </c>
      <c r="Y52" s="19" t="str">
        <f t="shared" si="7"/>
        <v>C</v>
      </c>
      <c r="Z52" s="19" t="str">
        <f t="shared" si="7"/>
        <v>D</v>
      </c>
      <c r="AA52" s="19" t="str">
        <f t="shared" si="7"/>
        <v>C</v>
      </c>
      <c r="AB52" s="19" t="str">
        <f t="shared" si="7"/>
        <v>C</v>
      </c>
      <c r="AC52" s="19" t="str">
        <f t="shared" si="7"/>
        <v>C</v>
      </c>
      <c r="AD52" s="19" t="str">
        <f t="shared" si="7"/>
        <v>C</v>
      </c>
      <c r="AE52" s="19" t="str">
        <f t="shared" si="7"/>
        <v>C</v>
      </c>
      <c r="AF52" s="19" t="str">
        <f t="shared" si="7"/>
        <v>D</v>
      </c>
      <c r="AG52" s="19" t="str">
        <f t="shared" si="7"/>
        <v>D</v>
      </c>
      <c r="AH52" s="19" t="str">
        <f t="shared" si="7"/>
        <v>C</v>
      </c>
      <c r="AI52" s="19" t="str">
        <f t="shared" si="7"/>
        <v>C</v>
      </c>
      <c r="AJ52" s="19" t="str">
        <f t="shared" si="7"/>
        <v>D</v>
      </c>
      <c r="AK52" s="19" t="str">
        <f t="shared" si="7"/>
        <v>D</v>
      </c>
      <c r="AL52" s="19" t="str">
        <f t="shared" si="7"/>
        <v>C</v>
      </c>
      <c r="AM52" s="19" t="str">
        <f t="shared" si="7"/>
        <v>E</v>
      </c>
    </row>
    <row r="53" spans="1:39" ht="15.75" hidden="1" customHeight="1" outlineLevel="1">
      <c r="A53" s="2" t="s">
        <v>23</v>
      </c>
      <c r="B53" s="19" t="str">
        <f t="shared" ref="B53:AM53" si="8">VLOOKUP((VLOOKUP($A29,SEEDS,2)&amp;VLOOKUP(B29,SEEDS,2)&amp;(IF(EXACT(B29,UPPER(B29)),"H","A"))),DIFF,2,FALSE)</f>
        <v>C</v>
      </c>
      <c r="C53" s="19" t="str">
        <f t="shared" si="8"/>
        <v>D</v>
      </c>
      <c r="D53" s="19" t="str">
        <f t="shared" si="8"/>
        <v>C</v>
      </c>
      <c r="E53" s="19" t="str">
        <f t="shared" si="8"/>
        <v>B</v>
      </c>
      <c r="F53" s="19" t="str">
        <f t="shared" si="8"/>
        <v>C</v>
      </c>
      <c r="G53" s="19" t="str">
        <f t="shared" si="8"/>
        <v>D</v>
      </c>
      <c r="H53" s="19" t="str">
        <f t="shared" si="8"/>
        <v>B</v>
      </c>
      <c r="I53" s="19" t="str">
        <f t="shared" si="8"/>
        <v>C</v>
      </c>
      <c r="J53" s="19" t="str">
        <f t="shared" si="8"/>
        <v>B</v>
      </c>
      <c r="K53" s="19" t="str">
        <f t="shared" si="8"/>
        <v>C</v>
      </c>
      <c r="L53" s="19" t="str">
        <f t="shared" si="8"/>
        <v>C</v>
      </c>
      <c r="M53" s="19" t="str">
        <f t="shared" si="8"/>
        <v>C</v>
      </c>
      <c r="N53" s="19" t="str">
        <f t="shared" si="8"/>
        <v>A</v>
      </c>
      <c r="O53" s="19" t="str">
        <f t="shared" si="8"/>
        <v>C</v>
      </c>
      <c r="P53" s="19" t="str">
        <f t="shared" si="8"/>
        <v>A</v>
      </c>
      <c r="Q53" s="19" t="str">
        <f t="shared" si="8"/>
        <v>B</v>
      </c>
      <c r="R53" s="19" t="str">
        <f t="shared" si="8"/>
        <v>A</v>
      </c>
      <c r="S53" s="19" t="str">
        <f t="shared" si="8"/>
        <v>A</v>
      </c>
      <c r="T53" s="19" t="str">
        <f t="shared" si="8"/>
        <v>D</v>
      </c>
      <c r="U53" s="19" t="str">
        <f t="shared" si="8"/>
        <v>C</v>
      </c>
      <c r="V53" s="19" t="str">
        <f t="shared" si="8"/>
        <v>B</v>
      </c>
      <c r="W53" s="19" t="str">
        <f t="shared" si="8"/>
        <v>C</v>
      </c>
      <c r="X53" s="19" t="str">
        <f t="shared" si="8"/>
        <v>D</v>
      </c>
      <c r="Y53" s="19" t="str">
        <f t="shared" si="8"/>
        <v>B</v>
      </c>
      <c r="Z53" s="19" t="str">
        <f t="shared" si="8"/>
        <v>D</v>
      </c>
      <c r="AA53" s="19" t="str">
        <f t="shared" si="8"/>
        <v>A</v>
      </c>
      <c r="AB53" s="19" t="str">
        <f t="shared" si="8"/>
        <v>C</v>
      </c>
      <c r="AC53" s="19" t="str">
        <f t="shared" si="8"/>
        <v>B</v>
      </c>
      <c r="AD53" s="19" t="str">
        <f t="shared" si="8"/>
        <v>C</v>
      </c>
      <c r="AE53" s="19" t="str">
        <f t="shared" si="8"/>
        <v>C</v>
      </c>
      <c r="AF53" s="19" t="str">
        <f t="shared" si="8"/>
        <v>B</v>
      </c>
      <c r="AG53" s="19" t="str">
        <f t="shared" si="8"/>
        <v>C</v>
      </c>
      <c r="AH53" s="19" t="str">
        <f t="shared" si="8"/>
        <v>C</v>
      </c>
      <c r="AI53" s="19" t="str">
        <f t="shared" si="8"/>
        <v>D</v>
      </c>
      <c r="AJ53" s="19" t="str">
        <f t="shared" si="8"/>
        <v>B</v>
      </c>
      <c r="AK53" s="19" t="str">
        <f t="shared" si="8"/>
        <v>C</v>
      </c>
      <c r="AL53" s="19" t="str">
        <f t="shared" si="8"/>
        <v>B</v>
      </c>
      <c r="AM53" s="19" t="str">
        <f t="shared" si="8"/>
        <v>A</v>
      </c>
    </row>
    <row r="54" spans="1:39" ht="15.75" hidden="1" customHeight="1" outlineLevel="1">
      <c r="A54" s="2" t="s">
        <v>34</v>
      </c>
      <c r="B54" s="19" t="str">
        <f t="shared" ref="B54:AM54" si="9">VLOOKUP((VLOOKUP($A30,SEEDS,2)&amp;VLOOKUP(B30,SEEDS,2)&amp;(IF(EXACT(B30,UPPER(B30)),"H","A"))),DIFF,2,FALSE)</f>
        <v>C</v>
      </c>
      <c r="C54" s="19" t="str">
        <f t="shared" si="9"/>
        <v>D</v>
      </c>
      <c r="D54" s="19" t="str">
        <f t="shared" si="9"/>
        <v>C</v>
      </c>
      <c r="E54" s="19" t="str">
        <f t="shared" si="9"/>
        <v>E</v>
      </c>
      <c r="F54" s="19" t="str">
        <f t="shared" si="9"/>
        <v>D</v>
      </c>
      <c r="G54" s="19" t="str">
        <f t="shared" si="9"/>
        <v>D</v>
      </c>
      <c r="H54" s="19" t="str">
        <f t="shared" si="9"/>
        <v>C</v>
      </c>
      <c r="I54" s="19" t="str">
        <f t="shared" si="9"/>
        <v>C</v>
      </c>
      <c r="J54" s="19" t="str">
        <f t="shared" si="9"/>
        <v>C</v>
      </c>
      <c r="K54" s="19" t="str">
        <f t="shared" si="9"/>
        <v>C</v>
      </c>
      <c r="L54" s="19" t="str">
        <f t="shared" si="9"/>
        <v>D</v>
      </c>
      <c r="M54" s="19" t="str">
        <f t="shared" si="9"/>
        <v>D</v>
      </c>
      <c r="N54" s="19" t="str">
        <f t="shared" si="9"/>
        <v>B</v>
      </c>
      <c r="O54" s="19" t="str">
        <f t="shared" si="9"/>
        <v>B</v>
      </c>
      <c r="P54" s="19" t="str">
        <f t="shared" si="9"/>
        <v>D</v>
      </c>
      <c r="Q54" s="19" t="str">
        <f t="shared" si="9"/>
        <v>C</v>
      </c>
      <c r="R54" s="19" t="str">
        <f t="shared" si="9"/>
        <v>D</v>
      </c>
      <c r="S54" s="19" t="str">
        <f t="shared" si="9"/>
        <v>C</v>
      </c>
      <c r="T54" s="19" t="str">
        <f t="shared" si="9"/>
        <v>C</v>
      </c>
      <c r="U54" s="19" t="str">
        <f t="shared" si="9"/>
        <v>D</v>
      </c>
      <c r="V54" s="19" t="str">
        <f t="shared" si="9"/>
        <v>C</v>
      </c>
      <c r="W54" s="19" t="str">
        <f t="shared" si="9"/>
        <v>E</v>
      </c>
      <c r="X54" s="19" t="str">
        <f t="shared" si="9"/>
        <v>C</v>
      </c>
      <c r="Y54" s="19" t="str">
        <f t="shared" si="9"/>
        <v>B</v>
      </c>
      <c r="Z54" s="19" t="str">
        <f t="shared" si="9"/>
        <v>D</v>
      </c>
      <c r="AA54" s="19" t="str">
        <f t="shared" si="9"/>
        <v>B</v>
      </c>
      <c r="AB54" s="19" t="str">
        <f t="shared" si="9"/>
        <v>C</v>
      </c>
      <c r="AC54" s="19" t="str">
        <f t="shared" si="9"/>
        <v>C</v>
      </c>
      <c r="AD54" s="19" t="str">
        <f t="shared" si="9"/>
        <v>C</v>
      </c>
      <c r="AE54" s="19" t="str">
        <f t="shared" si="9"/>
        <v>E</v>
      </c>
      <c r="AF54" s="19" t="str">
        <f t="shared" si="9"/>
        <v>B</v>
      </c>
      <c r="AG54" s="19" t="str">
        <f t="shared" si="9"/>
        <v>C</v>
      </c>
      <c r="AH54" s="19" t="str">
        <f t="shared" si="9"/>
        <v>B</v>
      </c>
      <c r="AI54" s="19" t="str">
        <f t="shared" si="9"/>
        <v>E</v>
      </c>
      <c r="AJ54" s="19" t="str">
        <f t="shared" si="9"/>
        <v>C</v>
      </c>
      <c r="AK54" s="19" t="str">
        <f t="shared" si="9"/>
        <v>C</v>
      </c>
      <c r="AL54" s="19" t="str">
        <f t="shared" si="9"/>
        <v>C</v>
      </c>
      <c r="AM54" s="19" t="str">
        <f t="shared" si="9"/>
        <v>D</v>
      </c>
    </row>
    <row r="55" spans="1:39" ht="15.75" hidden="1" customHeight="1" outlineLevel="1">
      <c r="A55" s="2" t="s">
        <v>10</v>
      </c>
      <c r="B55" s="19" t="str">
        <f t="shared" ref="B55:AM55" si="10">VLOOKUP((VLOOKUP($A31,SEEDS,2)&amp;VLOOKUP(B31,SEEDS,2)&amp;(IF(EXACT(B31,UPPER(B31)),"H","A"))),DIFF,2,FALSE)</f>
        <v>B</v>
      </c>
      <c r="C55" s="19" t="str">
        <f t="shared" si="10"/>
        <v>D</v>
      </c>
      <c r="D55" s="19" t="str">
        <f t="shared" si="10"/>
        <v>D</v>
      </c>
      <c r="E55" s="19" t="str">
        <f t="shared" si="10"/>
        <v>D</v>
      </c>
      <c r="F55" s="19" t="str">
        <f t="shared" si="10"/>
        <v>D</v>
      </c>
      <c r="G55" s="19" t="str">
        <f t="shared" si="10"/>
        <v>D</v>
      </c>
      <c r="H55" s="19" t="str">
        <f t="shared" si="10"/>
        <v>C</v>
      </c>
      <c r="I55" s="19" t="str">
        <f t="shared" si="10"/>
        <v>C</v>
      </c>
      <c r="J55" s="19" t="str">
        <f t="shared" si="10"/>
        <v>D</v>
      </c>
      <c r="K55" s="19" t="str">
        <f t="shared" si="10"/>
        <v>E</v>
      </c>
      <c r="L55" s="19" t="str">
        <f t="shared" si="10"/>
        <v>B</v>
      </c>
      <c r="M55" s="19" t="str">
        <f t="shared" si="10"/>
        <v>C</v>
      </c>
      <c r="N55" s="19" t="str">
        <f t="shared" si="10"/>
        <v>C</v>
      </c>
      <c r="O55" s="19" t="str">
        <f t="shared" si="10"/>
        <v>B</v>
      </c>
      <c r="P55" s="19" t="str">
        <f t="shared" si="10"/>
        <v>C</v>
      </c>
      <c r="Q55" s="19" t="str">
        <f t="shared" si="10"/>
        <v>B</v>
      </c>
      <c r="R55" s="19" t="str">
        <f t="shared" si="10"/>
        <v>B</v>
      </c>
      <c r="S55" s="19" t="str">
        <f t="shared" si="10"/>
        <v>B</v>
      </c>
      <c r="T55" s="19" t="str">
        <f t="shared" si="10"/>
        <v>C</v>
      </c>
      <c r="U55" s="19" t="str">
        <f t="shared" si="10"/>
        <v>C</v>
      </c>
      <c r="V55" s="19" t="str">
        <f t="shared" si="10"/>
        <v>E</v>
      </c>
      <c r="W55" s="19" t="str">
        <f t="shared" si="10"/>
        <v>E</v>
      </c>
      <c r="X55" s="19" t="str">
        <f t="shared" si="10"/>
        <v>C</v>
      </c>
      <c r="Y55" s="19" t="str">
        <f t="shared" si="10"/>
        <v>B</v>
      </c>
      <c r="Z55" s="19" t="str">
        <f t="shared" si="10"/>
        <v>D</v>
      </c>
      <c r="AA55" s="19" t="str">
        <f t="shared" si="10"/>
        <v>C</v>
      </c>
      <c r="AB55" s="19" t="str">
        <f t="shared" si="10"/>
        <v>D</v>
      </c>
      <c r="AC55" s="19" t="str">
        <f t="shared" si="10"/>
        <v>C</v>
      </c>
      <c r="AD55" s="19" t="str">
        <f t="shared" si="10"/>
        <v>C</v>
      </c>
      <c r="AE55" s="19" t="str">
        <f t="shared" si="10"/>
        <v>B</v>
      </c>
      <c r="AF55" s="19" t="str">
        <f t="shared" si="10"/>
        <v>D</v>
      </c>
      <c r="AG55" s="19" t="str">
        <f t="shared" si="10"/>
        <v>E</v>
      </c>
      <c r="AH55" s="19" t="str">
        <f t="shared" si="10"/>
        <v>B</v>
      </c>
      <c r="AI55" s="19" t="str">
        <f t="shared" si="10"/>
        <v>C</v>
      </c>
      <c r="AJ55" s="19" t="str">
        <f t="shared" si="10"/>
        <v>C</v>
      </c>
      <c r="AK55" s="19" t="str">
        <f t="shared" si="10"/>
        <v>B</v>
      </c>
      <c r="AL55" s="19" t="str">
        <f t="shared" si="10"/>
        <v>B</v>
      </c>
      <c r="AM55" s="19" t="str">
        <f t="shared" si="10"/>
        <v>B</v>
      </c>
    </row>
    <row r="56" spans="1:39" ht="15.75" hidden="1" customHeight="1" outlineLevel="1">
      <c r="A56" s="2" t="s">
        <v>26</v>
      </c>
      <c r="B56" s="19" t="str">
        <f t="shared" ref="B56:AM56" si="11">VLOOKUP((VLOOKUP($A32,SEEDS,2)&amp;VLOOKUP(B32,SEEDS,2)&amp;(IF(EXACT(B32,UPPER(B32)),"H","A"))),DIFF,2,FALSE)</f>
        <v>B</v>
      </c>
      <c r="C56" s="19" t="str">
        <f t="shared" si="11"/>
        <v>C</v>
      </c>
      <c r="D56" s="19" t="str">
        <f t="shared" si="11"/>
        <v>C</v>
      </c>
      <c r="E56" s="19" t="str">
        <f t="shared" si="11"/>
        <v>C</v>
      </c>
      <c r="F56" s="19" t="str">
        <f t="shared" si="11"/>
        <v>C</v>
      </c>
      <c r="G56" s="19" t="str">
        <f t="shared" si="11"/>
        <v>D</v>
      </c>
      <c r="H56" s="19" t="str">
        <f t="shared" si="11"/>
        <v>D</v>
      </c>
      <c r="I56" s="19" t="str">
        <f t="shared" si="11"/>
        <v>C</v>
      </c>
      <c r="J56" s="19" t="str">
        <f t="shared" si="11"/>
        <v>D</v>
      </c>
      <c r="K56" s="19" t="str">
        <f t="shared" si="11"/>
        <v>C</v>
      </c>
      <c r="L56" s="19" t="str">
        <f t="shared" si="11"/>
        <v>C</v>
      </c>
      <c r="M56" s="19" t="str">
        <f t="shared" si="11"/>
        <v>B</v>
      </c>
      <c r="N56" s="19" t="str">
        <f t="shared" si="11"/>
        <v>C</v>
      </c>
      <c r="O56" s="19" t="str">
        <f t="shared" si="11"/>
        <v>D</v>
      </c>
      <c r="P56" s="19" t="str">
        <f t="shared" si="11"/>
        <v>D</v>
      </c>
      <c r="Q56" s="19" t="str">
        <f t="shared" si="11"/>
        <v>D</v>
      </c>
      <c r="R56" s="19" t="str">
        <f t="shared" si="11"/>
        <v>D</v>
      </c>
      <c r="S56" s="19" t="str">
        <f t="shared" si="11"/>
        <v>D</v>
      </c>
      <c r="T56" s="19" t="str">
        <f t="shared" si="11"/>
        <v>D</v>
      </c>
      <c r="U56" s="19" t="str">
        <f t="shared" si="11"/>
        <v>B</v>
      </c>
      <c r="V56" s="19" t="str">
        <f t="shared" si="11"/>
        <v>D</v>
      </c>
      <c r="W56" s="19" t="str">
        <f t="shared" si="11"/>
        <v>C</v>
      </c>
      <c r="X56" s="19" t="str">
        <f t="shared" si="11"/>
        <v>C</v>
      </c>
      <c r="Y56" s="19" t="str">
        <f t="shared" si="11"/>
        <v>C</v>
      </c>
      <c r="Z56" s="19" t="str">
        <f t="shared" si="11"/>
        <v>E</v>
      </c>
      <c r="AA56" s="19" t="str">
        <f t="shared" si="11"/>
        <v>E</v>
      </c>
      <c r="AB56" s="19" t="str">
        <f t="shared" si="11"/>
        <v>B</v>
      </c>
      <c r="AC56" s="19" t="str">
        <f t="shared" si="11"/>
        <v>C</v>
      </c>
      <c r="AD56" s="19" t="str">
        <f t="shared" si="11"/>
        <v>C</v>
      </c>
      <c r="AE56" s="19" t="str">
        <f t="shared" si="11"/>
        <v>B</v>
      </c>
      <c r="AF56" s="19" t="str">
        <f t="shared" si="11"/>
        <v>C</v>
      </c>
      <c r="AG56" s="19" t="str">
        <f t="shared" si="11"/>
        <v>C</v>
      </c>
      <c r="AH56" s="19" t="str">
        <f t="shared" si="11"/>
        <v>C</v>
      </c>
      <c r="AI56" s="19" t="str">
        <f t="shared" si="11"/>
        <v>C</v>
      </c>
      <c r="AJ56" s="19" t="str">
        <f t="shared" si="11"/>
        <v>C</v>
      </c>
      <c r="AK56" s="19" t="str">
        <f t="shared" si="11"/>
        <v>E</v>
      </c>
      <c r="AL56" s="19" t="str">
        <f t="shared" si="11"/>
        <v>C</v>
      </c>
      <c r="AM56" s="19" t="str">
        <f t="shared" si="11"/>
        <v>E</v>
      </c>
    </row>
    <row r="57" spans="1:39" ht="15.75" hidden="1" customHeight="1" outlineLevel="1">
      <c r="A57" s="2" t="s">
        <v>3</v>
      </c>
      <c r="B57" s="19" t="str">
        <f t="shared" ref="B57:AM57" si="12">VLOOKUP((VLOOKUP($A33,SEEDS,2)&amp;VLOOKUP(B33,SEEDS,2)&amp;(IF(EXACT(B33,UPPER(B33)),"H","A"))),DIFF,2,FALSE)</f>
        <v>D</v>
      </c>
      <c r="C57" s="19" t="str">
        <f t="shared" si="12"/>
        <v>B</v>
      </c>
      <c r="D57" s="19" t="str">
        <f t="shared" si="12"/>
        <v>E</v>
      </c>
      <c r="E57" s="19" t="str">
        <f t="shared" si="12"/>
        <v>C</v>
      </c>
      <c r="F57" s="19" t="str">
        <f t="shared" si="12"/>
        <v>E</v>
      </c>
      <c r="G57" s="19" t="str">
        <f t="shared" si="12"/>
        <v>B</v>
      </c>
      <c r="H57" s="19" t="str">
        <f t="shared" si="12"/>
        <v>C</v>
      </c>
      <c r="I57" s="19" t="str">
        <f t="shared" si="12"/>
        <v>D</v>
      </c>
      <c r="J57" s="19" t="str">
        <f t="shared" si="12"/>
        <v>D</v>
      </c>
      <c r="K57" s="19" t="str">
        <f t="shared" si="12"/>
        <v>C</v>
      </c>
      <c r="L57" s="19" t="str">
        <f t="shared" si="12"/>
        <v>E</v>
      </c>
      <c r="M57" s="19" t="str">
        <f t="shared" si="12"/>
        <v>C</v>
      </c>
      <c r="N57" s="19" t="str">
        <f t="shared" si="12"/>
        <v>E</v>
      </c>
      <c r="O57" s="19" t="str">
        <f t="shared" si="12"/>
        <v>C</v>
      </c>
      <c r="P57" s="19" t="str">
        <f t="shared" si="12"/>
        <v>B</v>
      </c>
      <c r="Q57" s="19" t="str">
        <f t="shared" si="12"/>
        <v>C</v>
      </c>
      <c r="R57" s="19" t="str">
        <f t="shared" si="12"/>
        <v>B</v>
      </c>
      <c r="S57" s="19" t="str">
        <f t="shared" si="12"/>
        <v>B</v>
      </c>
      <c r="T57" s="19" t="str">
        <f t="shared" si="12"/>
        <v>B</v>
      </c>
      <c r="U57" s="19" t="str">
        <f t="shared" si="12"/>
        <v>C</v>
      </c>
      <c r="V57" s="19" t="str">
        <f t="shared" si="12"/>
        <v>D</v>
      </c>
      <c r="W57" s="19" t="str">
        <f t="shared" si="12"/>
        <v>D</v>
      </c>
      <c r="X57" s="19" t="str">
        <f t="shared" si="12"/>
        <v>B</v>
      </c>
      <c r="Y57" s="19" t="str">
        <f t="shared" si="12"/>
        <v>B</v>
      </c>
      <c r="Z57" s="19" t="str">
        <f t="shared" si="12"/>
        <v>B</v>
      </c>
      <c r="AA57" s="19" t="str">
        <f t="shared" si="12"/>
        <v>C</v>
      </c>
      <c r="AB57" s="19" t="str">
        <f t="shared" si="12"/>
        <v>C</v>
      </c>
      <c r="AC57" s="19" t="str">
        <f t="shared" si="12"/>
        <v>D</v>
      </c>
      <c r="AD57" s="19" t="str">
        <f t="shared" si="12"/>
        <v>C</v>
      </c>
      <c r="AE57" s="19" t="str">
        <f t="shared" si="12"/>
        <v>D</v>
      </c>
      <c r="AF57" s="19" t="str">
        <f t="shared" si="12"/>
        <v>D</v>
      </c>
      <c r="AG57" s="19" t="str">
        <f t="shared" si="12"/>
        <v>C</v>
      </c>
      <c r="AH57" s="19" t="str">
        <f t="shared" si="12"/>
        <v>C</v>
      </c>
      <c r="AI57" s="19" t="str">
        <f t="shared" si="12"/>
        <v>B</v>
      </c>
      <c r="AJ57" s="19" t="str">
        <f t="shared" si="12"/>
        <v>B</v>
      </c>
      <c r="AK57" s="19" t="str">
        <f t="shared" si="12"/>
        <v>D</v>
      </c>
      <c r="AL57" s="19" t="str">
        <f t="shared" si="12"/>
        <v>B</v>
      </c>
      <c r="AM57" s="19" t="str">
        <f t="shared" si="12"/>
        <v>C</v>
      </c>
    </row>
    <row r="58" spans="1:39" ht="15.75" hidden="1" customHeight="1" outlineLevel="1">
      <c r="A58" s="2" t="s">
        <v>17</v>
      </c>
      <c r="B58" s="19" t="str">
        <f t="shared" ref="B58:AM58" si="13">VLOOKUP((VLOOKUP($A34,SEEDS,2)&amp;VLOOKUP(B34,SEEDS,2)&amp;(IF(EXACT(B34,UPPER(B34)),"H","A"))),DIFF,2,FALSE)</f>
        <v>C</v>
      </c>
      <c r="C58" s="19" t="str">
        <f t="shared" si="13"/>
        <v>D</v>
      </c>
      <c r="D58" s="19" t="str">
        <f t="shared" si="13"/>
        <v>C</v>
      </c>
      <c r="E58" s="19" t="str">
        <f t="shared" si="13"/>
        <v>A</v>
      </c>
      <c r="F58" s="19" t="str">
        <f t="shared" si="13"/>
        <v>C</v>
      </c>
      <c r="G58" s="19" t="str">
        <f t="shared" si="13"/>
        <v>B</v>
      </c>
      <c r="H58" s="19" t="str">
        <f t="shared" si="13"/>
        <v>C</v>
      </c>
      <c r="I58" s="19" t="str">
        <f t="shared" si="13"/>
        <v>A</v>
      </c>
      <c r="J58" s="19" t="str">
        <f t="shared" si="13"/>
        <v>A</v>
      </c>
      <c r="K58" s="19" t="str">
        <f t="shared" si="13"/>
        <v>D</v>
      </c>
      <c r="L58" s="19" t="str">
        <f t="shared" si="13"/>
        <v>A</v>
      </c>
      <c r="M58" s="19" t="str">
        <f t="shared" si="13"/>
        <v>C</v>
      </c>
      <c r="N58" s="19" t="str">
        <f t="shared" si="13"/>
        <v>C</v>
      </c>
      <c r="O58" s="19" t="str">
        <f t="shared" si="13"/>
        <v>C</v>
      </c>
      <c r="P58" s="19" t="str">
        <f t="shared" si="13"/>
        <v>C</v>
      </c>
      <c r="Q58" s="19" t="str">
        <f t="shared" si="13"/>
        <v>C</v>
      </c>
      <c r="R58" s="19" t="str">
        <f t="shared" si="13"/>
        <v>D</v>
      </c>
      <c r="S58" s="19" t="str">
        <f t="shared" si="13"/>
        <v>A</v>
      </c>
      <c r="T58" s="19" t="str">
        <f t="shared" si="13"/>
        <v>B</v>
      </c>
      <c r="U58" s="19" t="str">
        <f t="shared" si="13"/>
        <v>B</v>
      </c>
      <c r="V58" s="19" t="str">
        <f t="shared" si="13"/>
        <v>C</v>
      </c>
      <c r="W58" s="19" t="str">
        <f t="shared" si="13"/>
        <v>B</v>
      </c>
      <c r="X58" s="19" t="str">
        <f t="shared" si="13"/>
        <v>C</v>
      </c>
      <c r="Y58" s="19" t="str">
        <f t="shared" si="13"/>
        <v>B</v>
      </c>
      <c r="Z58" s="19" t="str">
        <f t="shared" si="13"/>
        <v>A</v>
      </c>
      <c r="AA58" s="19" t="str">
        <f t="shared" si="13"/>
        <v>C</v>
      </c>
      <c r="AB58" s="19" t="str">
        <f t="shared" si="13"/>
        <v>B</v>
      </c>
      <c r="AC58" s="19" t="str">
        <f t="shared" si="13"/>
        <v>C</v>
      </c>
      <c r="AD58" s="19" t="str">
        <f t="shared" si="13"/>
        <v>B</v>
      </c>
      <c r="AE58" s="19" t="str">
        <f t="shared" si="13"/>
        <v>B</v>
      </c>
      <c r="AF58" s="19" t="str">
        <f t="shared" si="13"/>
        <v>D</v>
      </c>
      <c r="AG58" s="19" t="str">
        <f t="shared" si="13"/>
        <v>B</v>
      </c>
      <c r="AH58" s="19" t="str">
        <f t="shared" si="13"/>
        <v>B</v>
      </c>
      <c r="AI58" s="19" t="str">
        <f t="shared" si="13"/>
        <v>D</v>
      </c>
      <c r="AJ58" s="19" t="str">
        <f t="shared" si="13"/>
        <v>C</v>
      </c>
      <c r="AK58" s="19" t="str">
        <f t="shared" si="13"/>
        <v>C</v>
      </c>
      <c r="AL58" s="19" t="str">
        <f t="shared" si="13"/>
        <v>D</v>
      </c>
      <c r="AM58" s="19" t="str">
        <f t="shared" si="13"/>
        <v>C</v>
      </c>
    </row>
    <row r="59" spans="1:39" ht="15.75" hidden="1" customHeight="1" outlineLevel="1">
      <c r="A59" s="2" t="s">
        <v>8</v>
      </c>
      <c r="B59" s="19" t="str">
        <f t="shared" ref="B59:AM59" si="14">VLOOKUP((VLOOKUP($A35,SEEDS,2)&amp;VLOOKUP(B35,SEEDS,2)&amp;(IF(EXACT(B35,UPPER(B35)),"H","A"))),DIFF,2,FALSE)</f>
        <v>C</v>
      </c>
      <c r="C59" s="19" t="str">
        <f t="shared" si="14"/>
        <v>C</v>
      </c>
      <c r="D59" s="19" t="str">
        <f t="shared" si="14"/>
        <v>A</v>
      </c>
      <c r="E59" s="19" t="str">
        <f t="shared" si="14"/>
        <v>C</v>
      </c>
      <c r="F59" s="19" t="str">
        <f t="shared" si="14"/>
        <v>C</v>
      </c>
      <c r="G59" s="19" t="str">
        <f t="shared" si="14"/>
        <v>C</v>
      </c>
      <c r="H59" s="19" t="str">
        <f t="shared" si="14"/>
        <v>A</v>
      </c>
      <c r="I59" s="19" t="str">
        <f t="shared" si="14"/>
        <v>D</v>
      </c>
      <c r="J59" s="19" t="str">
        <f t="shared" si="14"/>
        <v>C</v>
      </c>
      <c r="K59" s="19" t="str">
        <f t="shared" si="14"/>
        <v>D</v>
      </c>
      <c r="L59" s="19" t="str">
        <f t="shared" si="14"/>
        <v>C</v>
      </c>
      <c r="M59" s="19" t="str">
        <f t="shared" si="14"/>
        <v>B</v>
      </c>
      <c r="N59" s="19" t="str">
        <f t="shared" si="14"/>
        <v>B</v>
      </c>
      <c r="O59" s="19" t="str">
        <f t="shared" si="14"/>
        <v>B</v>
      </c>
      <c r="P59" s="19" t="str">
        <f t="shared" si="14"/>
        <v>B</v>
      </c>
      <c r="Q59" s="19" t="str">
        <f t="shared" si="14"/>
        <v>B</v>
      </c>
      <c r="R59" s="19" t="str">
        <f t="shared" si="14"/>
        <v>A</v>
      </c>
      <c r="S59" s="19" t="str">
        <f t="shared" si="14"/>
        <v>C</v>
      </c>
      <c r="T59" s="19" t="str">
        <f t="shared" si="14"/>
        <v>D</v>
      </c>
      <c r="U59" s="19" t="str">
        <f t="shared" si="14"/>
        <v>C</v>
      </c>
      <c r="V59" s="19" t="str">
        <f t="shared" si="14"/>
        <v>B</v>
      </c>
      <c r="W59" s="19" t="str">
        <f t="shared" si="14"/>
        <v>C</v>
      </c>
      <c r="X59" s="19" t="str">
        <f t="shared" si="14"/>
        <v>C</v>
      </c>
      <c r="Y59" s="19" t="str">
        <f t="shared" si="14"/>
        <v>C</v>
      </c>
      <c r="Z59" s="19" t="str">
        <f t="shared" si="14"/>
        <v>D</v>
      </c>
      <c r="AA59" s="19" t="str">
        <f t="shared" si="14"/>
        <v>B</v>
      </c>
      <c r="AB59" s="19" t="str">
        <f t="shared" si="14"/>
        <v>D</v>
      </c>
      <c r="AC59" s="19" t="str">
        <f t="shared" si="14"/>
        <v>A</v>
      </c>
      <c r="AD59" s="19" t="str">
        <f t="shared" si="14"/>
        <v>C</v>
      </c>
      <c r="AE59" s="19" t="str">
        <f t="shared" si="14"/>
        <v>B</v>
      </c>
      <c r="AF59" s="19" t="str">
        <f t="shared" si="14"/>
        <v>D</v>
      </c>
      <c r="AG59" s="19" t="str">
        <f t="shared" si="14"/>
        <v>C</v>
      </c>
      <c r="AH59" s="19" t="str">
        <f t="shared" si="14"/>
        <v>C</v>
      </c>
      <c r="AI59" s="19" t="str">
        <f t="shared" si="14"/>
        <v>B</v>
      </c>
      <c r="AJ59" s="19" t="str">
        <f t="shared" si="14"/>
        <v>C</v>
      </c>
      <c r="AK59" s="19" t="str">
        <f t="shared" si="14"/>
        <v>A</v>
      </c>
      <c r="AL59" s="19" t="str">
        <f t="shared" si="14"/>
        <v>B</v>
      </c>
      <c r="AM59" s="19" t="str">
        <f t="shared" si="14"/>
        <v>A</v>
      </c>
    </row>
    <row r="60" spans="1:39" ht="15.75" hidden="1" customHeight="1" outlineLevel="1">
      <c r="A60" s="2" t="s">
        <v>20</v>
      </c>
      <c r="B60" s="19" t="str">
        <f t="shared" ref="B60:AM60" si="15">VLOOKUP((VLOOKUP($A36,SEEDS,2)&amp;VLOOKUP(B36,SEEDS,2)&amp;(IF(EXACT(B36,UPPER(B36)),"H","A"))),DIFF,2,FALSE)</f>
        <v>C</v>
      </c>
      <c r="C60" s="19" t="str">
        <f t="shared" si="15"/>
        <v>D</v>
      </c>
      <c r="D60" s="19" t="str">
        <f t="shared" si="15"/>
        <v>E</v>
      </c>
      <c r="E60" s="19" t="str">
        <f t="shared" si="15"/>
        <v>D</v>
      </c>
      <c r="F60" s="19" t="str">
        <f t="shared" si="15"/>
        <v>C</v>
      </c>
      <c r="G60" s="19" t="str">
        <f t="shared" si="15"/>
        <v>B</v>
      </c>
      <c r="H60" s="19" t="str">
        <f t="shared" si="15"/>
        <v>D</v>
      </c>
      <c r="I60" s="19" t="str">
        <f t="shared" si="15"/>
        <v>E</v>
      </c>
      <c r="J60" s="19" t="str">
        <f t="shared" si="15"/>
        <v>B</v>
      </c>
      <c r="K60" s="19" t="str">
        <f t="shared" si="15"/>
        <v>C</v>
      </c>
      <c r="L60" s="19" t="str">
        <f t="shared" si="15"/>
        <v>C</v>
      </c>
      <c r="M60" s="19" t="str">
        <f t="shared" si="15"/>
        <v>C</v>
      </c>
      <c r="N60" s="19" t="str">
        <f t="shared" si="15"/>
        <v>B</v>
      </c>
      <c r="O60" s="19" t="str">
        <f t="shared" si="15"/>
        <v>C</v>
      </c>
      <c r="P60" s="19" t="str">
        <f t="shared" si="15"/>
        <v>C</v>
      </c>
      <c r="Q60" s="19" t="str">
        <f t="shared" si="15"/>
        <v>D</v>
      </c>
      <c r="R60" s="19" t="str">
        <f t="shared" si="15"/>
        <v>C</v>
      </c>
      <c r="S60" s="19" t="str">
        <f t="shared" si="15"/>
        <v>C</v>
      </c>
      <c r="T60" s="19" t="str">
        <f t="shared" si="15"/>
        <v>C</v>
      </c>
      <c r="U60" s="19" t="str">
        <f t="shared" si="15"/>
        <v>E</v>
      </c>
      <c r="V60" s="19" t="str">
        <f t="shared" si="15"/>
        <v>D</v>
      </c>
      <c r="W60" s="19" t="str">
        <f t="shared" si="15"/>
        <v>C</v>
      </c>
      <c r="X60" s="19" t="str">
        <f t="shared" si="15"/>
        <v>C</v>
      </c>
      <c r="Y60" s="19" t="str">
        <f t="shared" si="15"/>
        <v>D</v>
      </c>
      <c r="Z60" s="19" t="str">
        <f t="shared" si="15"/>
        <v>C</v>
      </c>
      <c r="AA60" s="19" t="str">
        <f t="shared" si="15"/>
        <v>E</v>
      </c>
      <c r="AB60" s="19" t="str">
        <f t="shared" si="15"/>
        <v>D</v>
      </c>
      <c r="AC60" s="19" t="str">
        <f t="shared" si="15"/>
        <v>D</v>
      </c>
      <c r="AD60" s="19" t="str">
        <f t="shared" si="15"/>
        <v>B</v>
      </c>
      <c r="AE60" s="19" t="str">
        <f t="shared" si="15"/>
        <v>C</v>
      </c>
      <c r="AF60" s="19" t="str">
        <f t="shared" si="15"/>
        <v>B</v>
      </c>
      <c r="AG60" s="19" t="str">
        <f t="shared" si="15"/>
        <v>C</v>
      </c>
      <c r="AH60" s="19" t="str">
        <f t="shared" si="15"/>
        <v>D</v>
      </c>
      <c r="AI60" s="19" t="str">
        <f t="shared" si="15"/>
        <v>C</v>
      </c>
      <c r="AJ60" s="19" t="str">
        <f t="shared" si="15"/>
        <v>D</v>
      </c>
      <c r="AK60" s="19" t="str">
        <f t="shared" si="15"/>
        <v>C</v>
      </c>
      <c r="AL60" s="19" t="str">
        <f t="shared" si="15"/>
        <v>C</v>
      </c>
      <c r="AM60" s="19" t="str">
        <f t="shared" si="15"/>
        <v>C</v>
      </c>
    </row>
    <row r="61" spans="1:39" ht="15.75" hidden="1" customHeight="1" outlineLevel="1">
      <c r="A61" s="2" t="s">
        <v>36</v>
      </c>
      <c r="B61" s="19" t="str">
        <f t="shared" ref="B61:AM61" si="16">VLOOKUP((VLOOKUP($A37,SEEDS,2)&amp;VLOOKUP(B37,SEEDS,2)&amp;(IF(EXACT(B37,UPPER(B37)),"H","A"))),DIFF,2,FALSE)</f>
        <v>C</v>
      </c>
      <c r="C61" s="19" t="str">
        <f t="shared" si="16"/>
        <v>C</v>
      </c>
      <c r="D61" s="19" t="str">
        <f t="shared" si="16"/>
        <v>C</v>
      </c>
      <c r="E61" s="19" t="str">
        <f t="shared" si="16"/>
        <v>D</v>
      </c>
      <c r="F61" s="19" t="str">
        <f t="shared" si="16"/>
        <v>B</v>
      </c>
      <c r="G61" s="19" t="str">
        <f t="shared" si="16"/>
        <v>D</v>
      </c>
      <c r="H61" s="19" t="str">
        <f t="shared" si="16"/>
        <v>C</v>
      </c>
      <c r="I61" s="19" t="str">
        <f t="shared" si="16"/>
        <v>B</v>
      </c>
      <c r="J61" s="19" t="str">
        <f t="shared" si="16"/>
        <v>C</v>
      </c>
      <c r="K61" s="19" t="str">
        <f t="shared" si="16"/>
        <v>C</v>
      </c>
      <c r="L61" s="19" t="str">
        <f t="shared" si="16"/>
        <v>E</v>
      </c>
      <c r="M61" s="19" t="str">
        <f t="shared" si="16"/>
        <v>C</v>
      </c>
      <c r="N61" s="19" t="str">
        <f t="shared" si="16"/>
        <v>E</v>
      </c>
      <c r="O61" s="19" t="str">
        <f t="shared" si="16"/>
        <v>D</v>
      </c>
      <c r="P61" s="19" t="str">
        <f t="shared" si="16"/>
        <v>C</v>
      </c>
      <c r="Q61" s="19" t="str">
        <f t="shared" si="16"/>
        <v>C</v>
      </c>
      <c r="R61" s="19" t="str">
        <f t="shared" si="16"/>
        <v>E</v>
      </c>
      <c r="S61" s="19" t="str">
        <f t="shared" si="16"/>
        <v>D</v>
      </c>
      <c r="T61" s="19" t="str">
        <f t="shared" si="16"/>
        <v>C</v>
      </c>
      <c r="U61" s="19" t="str">
        <f t="shared" si="16"/>
        <v>C</v>
      </c>
      <c r="V61" s="19" t="str">
        <f t="shared" si="16"/>
        <v>D</v>
      </c>
      <c r="W61" s="19" t="str">
        <f t="shared" si="16"/>
        <v>C</v>
      </c>
      <c r="X61" s="19" t="str">
        <f t="shared" si="16"/>
        <v>C</v>
      </c>
      <c r="Y61" s="19" t="str">
        <f t="shared" si="16"/>
        <v>C</v>
      </c>
      <c r="Z61" s="19" t="str">
        <f t="shared" si="16"/>
        <v>C</v>
      </c>
      <c r="AA61" s="19" t="str">
        <f t="shared" si="16"/>
        <v>C</v>
      </c>
      <c r="AB61" s="19" t="str">
        <f t="shared" si="16"/>
        <v>C</v>
      </c>
      <c r="AC61" s="19" t="str">
        <f t="shared" si="16"/>
        <v>D</v>
      </c>
      <c r="AD61" s="19" t="str">
        <f t="shared" si="16"/>
        <v>D</v>
      </c>
      <c r="AE61" s="19" t="str">
        <f t="shared" si="16"/>
        <v>D</v>
      </c>
      <c r="AF61" s="19" t="str">
        <f t="shared" si="16"/>
        <v>C</v>
      </c>
      <c r="AG61" s="19" t="str">
        <f t="shared" si="16"/>
        <v>B</v>
      </c>
      <c r="AH61" s="19" t="str">
        <f t="shared" si="16"/>
        <v>C</v>
      </c>
      <c r="AI61" s="19" t="str">
        <f t="shared" si="16"/>
        <v>B</v>
      </c>
      <c r="AJ61" s="19" t="str">
        <f t="shared" si="16"/>
        <v>B</v>
      </c>
      <c r="AK61" s="19" t="str">
        <f t="shared" si="16"/>
        <v>E</v>
      </c>
      <c r="AL61" s="19" t="str">
        <f t="shared" si="16"/>
        <v>D</v>
      </c>
      <c r="AM61" s="19" t="str">
        <f t="shared" si="16"/>
        <v>D</v>
      </c>
    </row>
    <row r="62" spans="1:39" ht="15.75" hidden="1" customHeight="1" outlineLevel="1">
      <c r="A62" s="2" t="s">
        <v>24</v>
      </c>
      <c r="B62" s="19" t="str">
        <f t="shared" ref="B62:AM62" si="17">VLOOKUP((VLOOKUP($A38,SEEDS,2)&amp;VLOOKUP(B38,SEEDS,2)&amp;(IF(EXACT(B38,UPPER(B38)),"H","A"))),DIFF,2,FALSE)</f>
        <v>B</v>
      </c>
      <c r="C62" s="19" t="str">
        <f t="shared" si="17"/>
        <v>C</v>
      </c>
      <c r="D62" s="19" t="str">
        <f t="shared" si="17"/>
        <v>B</v>
      </c>
      <c r="E62" s="19" t="str">
        <f t="shared" si="17"/>
        <v>B</v>
      </c>
      <c r="F62" s="19" t="str">
        <f t="shared" si="17"/>
        <v>C</v>
      </c>
      <c r="G62" s="19" t="str">
        <f t="shared" si="17"/>
        <v>D</v>
      </c>
      <c r="H62" s="19" t="str">
        <f t="shared" si="17"/>
        <v>C</v>
      </c>
      <c r="I62" s="19" t="str">
        <f t="shared" si="17"/>
        <v>E</v>
      </c>
      <c r="J62" s="19" t="str">
        <f t="shared" si="17"/>
        <v>B</v>
      </c>
      <c r="K62" s="19" t="str">
        <f t="shared" si="17"/>
        <v>D</v>
      </c>
      <c r="L62" s="19" t="str">
        <f t="shared" si="17"/>
        <v>B</v>
      </c>
      <c r="M62" s="19" t="str">
        <f t="shared" si="17"/>
        <v>B</v>
      </c>
      <c r="N62" s="19" t="str">
        <f t="shared" si="17"/>
        <v>C</v>
      </c>
      <c r="O62" s="19" t="str">
        <f t="shared" si="17"/>
        <v>E</v>
      </c>
      <c r="P62" s="19" t="str">
        <f t="shared" si="17"/>
        <v>C</v>
      </c>
      <c r="Q62" s="19" t="str">
        <f t="shared" si="17"/>
        <v>C</v>
      </c>
      <c r="R62" s="19" t="str">
        <f t="shared" si="17"/>
        <v>C</v>
      </c>
      <c r="S62" s="19" t="str">
        <f t="shared" si="17"/>
        <v>D</v>
      </c>
      <c r="T62" s="19" t="str">
        <f t="shared" si="17"/>
        <v>C</v>
      </c>
      <c r="U62" s="19" t="str">
        <f t="shared" si="17"/>
        <v>B</v>
      </c>
      <c r="V62" s="19" t="str">
        <f t="shared" si="17"/>
        <v>B</v>
      </c>
      <c r="W62" s="19" t="str">
        <f t="shared" si="17"/>
        <v>C</v>
      </c>
      <c r="X62" s="19" t="str">
        <f t="shared" si="17"/>
        <v>E</v>
      </c>
      <c r="Y62" s="19" t="str">
        <f t="shared" si="17"/>
        <v>E</v>
      </c>
      <c r="Z62" s="19" t="str">
        <f t="shared" si="17"/>
        <v>C</v>
      </c>
      <c r="AA62" s="19" t="str">
        <f t="shared" si="17"/>
        <v>D</v>
      </c>
      <c r="AB62" s="19" t="str">
        <f t="shared" si="17"/>
        <v>D</v>
      </c>
      <c r="AC62" s="19" t="str">
        <f t="shared" si="17"/>
        <v>B</v>
      </c>
      <c r="AD62" s="19" t="str">
        <f t="shared" si="17"/>
        <v>B</v>
      </c>
      <c r="AE62" s="19" t="str">
        <f t="shared" si="17"/>
        <v>D</v>
      </c>
      <c r="AF62" s="19" t="str">
        <f t="shared" si="17"/>
        <v>C</v>
      </c>
      <c r="AG62" s="19" t="str">
        <f t="shared" si="17"/>
        <v>B</v>
      </c>
      <c r="AH62" s="19" t="str">
        <f t="shared" si="17"/>
        <v>B</v>
      </c>
      <c r="AI62" s="19" t="str">
        <f t="shared" si="17"/>
        <v>D</v>
      </c>
      <c r="AJ62" s="19" t="str">
        <f t="shared" si="17"/>
        <v>C</v>
      </c>
      <c r="AK62" s="19" t="str">
        <f t="shared" si="17"/>
        <v>D</v>
      </c>
      <c r="AL62" s="19" t="str">
        <f t="shared" si="17"/>
        <v>D</v>
      </c>
      <c r="AM62" s="19" t="str">
        <f t="shared" si="17"/>
        <v>C</v>
      </c>
    </row>
    <row r="63" spans="1:39" ht="15.75" hidden="1" customHeight="1" outlineLevel="1">
      <c r="A63" s="2" t="s">
        <v>5</v>
      </c>
      <c r="B63" s="19" t="str">
        <f t="shared" ref="B63:AM63" si="18">VLOOKUP((VLOOKUP($A39,SEEDS,2)&amp;VLOOKUP(B39,SEEDS,2)&amp;(IF(EXACT(B39,UPPER(B39)),"H","A"))),DIFF,2,FALSE)</f>
        <v>C</v>
      </c>
      <c r="C63" s="19" t="str">
        <f t="shared" si="18"/>
        <v>D</v>
      </c>
      <c r="D63" s="19" t="str">
        <f t="shared" si="18"/>
        <v>B</v>
      </c>
      <c r="E63" s="19" t="str">
        <f t="shared" si="18"/>
        <v>C</v>
      </c>
      <c r="F63" s="19" t="str">
        <f t="shared" si="18"/>
        <v>E</v>
      </c>
      <c r="G63" s="19" t="str">
        <f t="shared" si="18"/>
        <v>B</v>
      </c>
      <c r="H63" s="19" t="str">
        <f t="shared" si="18"/>
        <v>B</v>
      </c>
      <c r="I63" s="19" t="str">
        <f t="shared" si="18"/>
        <v>C</v>
      </c>
      <c r="J63" s="19" t="str">
        <f t="shared" si="18"/>
        <v>D</v>
      </c>
      <c r="K63" s="19" t="str">
        <f t="shared" si="18"/>
        <v>B</v>
      </c>
      <c r="L63" s="19" t="str">
        <f t="shared" si="18"/>
        <v>B</v>
      </c>
      <c r="M63" s="19" t="str">
        <f t="shared" si="18"/>
        <v>D</v>
      </c>
      <c r="N63" s="19" t="str">
        <f t="shared" si="18"/>
        <v>D</v>
      </c>
      <c r="O63" s="19" t="str">
        <f t="shared" si="18"/>
        <v>B</v>
      </c>
      <c r="P63" s="19" t="str">
        <f t="shared" si="18"/>
        <v>D</v>
      </c>
      <c r="Q63" s="19" t="str">
        <f t="shared" si="18"/>
        <v>C</v>
      </c>
      <c r="R63" s="19" t="str">
        <f t="shared" si="18"/>
        <v>C</v>
      </c>
      <c r="S63" s="19" t="str">
        <f t="shared" si="18"/>
        <v>D</v>
      </c>
      <c r="T63" s="19" t="str">
        <f t="shared" si="18"/>
        <v>D</v>
      </c>
      <c r="U63" s="19" t="str">
        <f t="shared" si="18"/>
        <v>C</v>
      </c>
      <c r="V63" s="19" t="str">
        <f t="shared" si="18"/>
        <v>B</v>
      </c>
      <c r="W63" s="19" t="str">
        <f t="shared" si="18"/>
        <v>D</v>
      </c>
      <c r="X63" s="19" t="str">
        <f t="shared" si="18"/>
        <v>B</v>
      </c>
      <c r="Y63" s="19" t="str">
        <f t="shared" si="18"/>
        <v>E</v>
      </c>
      <c r="Z63" s="19" t="str">
        <f t="shared" si="18"/>
        <v>C</v>
      </c>
      <c r="AA63" s="19" t="str">
        <f t="shared" si="18"/>
        <v>B</v>
      </c>
      <c r="AB63" s="19" t="str">
        <f t="shared" si="18"/>
        <v>C</v>
      </c>
      <c r="AC63" s="19" t="str">
        <f t="shared" si="18"/>
        <v>B</v>
      </c>
      <c r="AD63" s="19" t="str">
        <f t="shared" si="18"/>
        <v>E</v>
      </c>
      <c r="AE63" s="19" t="str">
        <f t="shared" si="18"/>
        <v>C</v>
      </c>
      <c r="AF63" s="19" t="str">
        <f t="shared" si="18"/>
        <v>B</v>
      </c>
      <c r="AG63" s="19" t="str">
        <f t="shared" si="18"/>
        <v>C</v>
      </c>
      <c r="AH63" s="19" t="str">
        <f t="shared" si="18"/>
        <v>D</v>
      </c>
      <c r="AI63" s="19" t="str">
        <f t="shared" si="18"/>
        <v>C</v>
      </c>
      <c r="AJ63" s="19" t="str">
        <f t="shared" si="18"/>
        <v>E</v>
      </c>
      <c r="AK63" s="19" t="str">
        <f t="shared" si="18"/>
        <v>B</v>
      </c>
      <c r="AL63" s="19" t="str">
        <f t="shared" si="18"/>
        <v>C</v>
      </c>
      <c r="AM63" s="19" t="str">
        <f t="shared" si="18"/>
        <v>C</v>
      </c>
    </row>
    <row r="64" spans="1:39" ht="15.75" hidden="1" customHeight="1" outlineLevel="1">
      <c r="A64" s="2" t="s">
        <v>15</v>
      </c>
      <c r="B64" s="19" t="str">
        <f t="shared" ref="B64:AM64" si="19">VLOOKUP((VLOOKUP($A40,SEEDS,2)&amp;VLOOKUP(B40,SEEDS,2)&amp;(IF(EXACT(B40,UPPER(B40)),"H","A"))),DIFF,2,FALSE)</f>
        <v>C</v>
      </c>
      <c r="C64" s="19" t="str">
        <f t="shared" si="19"/>
        <v>B</v>
      </c>
      <c r="D64" s="19" t="str">
        <f t="shared" si="19"/>
        <v>C</v>
      </c>
      <c r="E64" s="19" t="str">
        <f t="shared" si="19"/>
        <v>C</v>
      </c>
      <c r="F64" s="19" t="str">
        <f t="shared" si="19"/>
        <v>C</v>
      </c>
      <c r="G64" s="19" t="str">
        <f t="shared" si="19"/>
        <v>C</v>
      </c>
      <c r="H64" s="19" t="str">
        <f t="shared" si="19"/>
        <v>E</v>
      </c>
      <c r="I64" s="19" t="str">
        <f t="shared" si="19"/>
        <v>C</v>
      </c>
      <c r="J64" s="19" t="str">
        <f t="shared" si="19"/>
        <v>C</v>
      </c>
      <c r="K64" s="19" t="str">
        <f t="shared" si="19"/>
        <v>B</v>
      </c>
      <c r="L64" s="19" t="str">
        <f t="shared" si="19"/>
        <v>D</v>
      </c>
      <c r="M64" s="19" t="str">
        <f t="shared" si="19"/>
        <v>C</v>
      </c>
      <c r="N64" s="19" t="str">
        <f t="shared" si="19"/>
        <v>C</v>
      </c>
      <c r="O64" s="19" t="str">
        <f t="shared" si="19"/>
        <v>C</v>
      </c>
      <c r="P64" s="19" t="str">
        <f t="shared" si="19"/>
        <v>E</v>
      </c>
      <c r="Q64" s="19" t="str">
        <f t="shared" si="19"/>
        <v>B</v>
      </c>
      <c r="R64" s="19" t="str">
        <f t="shared" si="19"/>
        <v>E</v>
      </c>
      <c r="S64" s="19" t="str">
        <f t="shared" si="19"/>
        <v>E</v>
      </c>
      <c r="T64" s="19" t="str">
        <f t="shared" si="19"/>
        <v>C</v>
      </c>
      <c r="U64" s="19" t="str">
        <f t="shared" si="19"/>
        <v>C</v>
      </c>
      <c r="V64" s="19" t="str">
        <f t="shared" si="19"/>
        <v>D</v>
      </c>
      <c r="W64" s="19" t="str">
        <f t="shared" si="19"/>
        <v>D</v>
      </c>
      <c r="X64" s="19" t="str">
        <f t="shared" si="19"/>
        <v>B</v>
      </c>
      <c r="Y64" s="19" t="str">
        <f t="shared" si="19"/>
        <v>D</v>
      </c>
      <c r="Z64" s="19" t="str">
        <f t="shared" si="19"/>
        <v>D</v>
      </c>
      <c r="AA64" s="19" t="str">
        <f t="shared" si="19"/>
        <v>D</v>
      </c>
      <c r="AB64" s="19" t="str">
        <f t="shared" si="19"/>
        <v>C</v>
      </c>
      <c r="AC64" s="19" t="str">
        <f t="shared" si="19"/>
        <v>C</v>
      </c>
      <c r="AD64" s="19" t="str">
        <f t="shared" si="19"/>
        <v>D</v>
      </c>
      <c r="AE64" s="19" t="str">
        <f t="shared" si="19"/>
        <v>C</v>
      </c>
      <c r="AF64" s="19" t="str">
        <f t="shared" si="19"/>
        <v>C</v>
      </c>
      <c r="AG64" s="19" t="str">
        <f t="shared" si="19"/>
        <v>C</v>
      </c>
      <c r="AH64" s="19" t="str">
        <f t="shared" si="19"/>
        <v>B</v>
      </c>
      <c r="AI64" s="19" t="str">
        <f t="shared" si="19"/>
        <v>C</v>
      </c>
      <c r="AJ64" s="19" t="str">
        <f t="shared" si="19"/>
        <v>D</v>
      </c>
      <c r="AK64" s="19" t="str">
        <f t="shared" si="19"/>
        <v>D</v>
      </c>
      <c r="AL64" s="19" t="str">
        <f t="shared" si="19"/>
        <v>D</v>
      </c>
      <c r="AM64" s="19" t="str">
        <f t="shared" si="19"/>
        <v>C</v>
      </c>
    </row>
    <row r="65" spans="1:39" ht="15.75" hidden="1" customHeight="1" outlineLevel="1">
      <c r="A65" s="2" t="s">
        <v>28</v>
      </c>
      <c r="B65" s="19" t="str">
        <f t="shared" ref="B65:AM65" si="20">VLOOKUP((VLOOKUP($A41,SEEDS,2)&amp;VLOOKUP(B41,SEEDS,2)&amp;(IF(EXACT(B41,UPPER(B41)),"H","A"))),DIFF,2,FALSE)</f>
        <v>E</v>
      </c>
      <c r="C65" s="19" t="str">
        <f t="shared" si="20"/>
        <v>B</v>
      </c>
      <c r="D65" s="19" t="str">
        <f t="shared" si="20"/>
        <v>B</v>
      </c>
      <c r="E65" s="19" t="str">
        <f t="shared" si="20"/>
        <v>D</v>
      </c>
      <c r="F65" s="19" t="str">
        <f t="shared" si="20"/>
        <v>B</v>
      </c>
      <c r="G65" s="19" t="str">
        <f t="shared" si="20"/>
        <v>C</v>
      </c>
      <c r="H65" s="19" t="str">
        <f t="shared" si="20"/>
        <v>D</v>
      </c>
      <c r="I65" s="19" t="str">
        <f t="shared" si="20"/>
        <v>C</v>
      </c>
      <c r="J65" s="19" t="str">
        <f t="shared" si="20"/>
        <v>C</v>
      </c>
      <c r="K65" s="19" t="str">
        <f t="shared" si="20"/>
        <v>C</v>
      </c>
      <c r="L65" s="19" t="str">
        <f t="shared" si="20"/>
        <v>D</v>
      </c>
      <c r="M65" s="19" t="str">
        <f t="shared" si="20"/>
        <v>B</v>
      </c>
      <c r="N65" s="19" t="str">
        <f t="shared" si="20"/>
        <v>B</v>
      </c>
      <c r="O65" s="19" t="str">
        <f t="shared" si="20"/>
        <v>D</v>
      </c>
      <c r="P65" s="19" t="str">
        <f t="shared" si="20"/>
        <v>B</v>
      </c>
      <c r="Q65" s="19" t="str">
        <f t="shared" si="20"/>
        <v>E</v>
      </c>
      <c r="R65" s="19" t="str">
        <f t="shared" si="20"/>
        <v>C</v>
      </c>
      <c r="S65" s="19" t="str">
        <f t="shared" si="20"/>
        <v>C</v>
      </c>
      <c r="T65" s="19" t="str">
        <f t="shared" si="20"/>
        <v>C</v>
      </c>
      <c r="U65" s="19" t="str">
        <f t="shared" si="20"/>
        <v>E</v>
      </c>
      <c r="V65" s="19" t="str">
        <f t="shared" si="20"/>
        <v>B</v>
      </c>
      <c r="W65" s="19" t="str">
        <f t="shared" si="20"/>
        <v>B</v>
      </c>
      <c r="X65" s="19" t="str">
        <f t="shared" si="20"/>
        <v>D</v>
      </c>
      <c r="Y65" s="19" t="str">
        <f t="shared" si="20"/>
        <v>C</v>
      </c>
      <c r="Z65" s="19" t="str">
        <f t="shared" si="20"/>
        <v>C</v>
      </c>
      <c r="AA65" s="19" t="str">
        <f t="shared" si="20"/>
        <v>C</v>
      </c>
      <c r="AB65" s="19" t="str">
        <f t="shared" si="20"/>
        <v>D</v>
      </c>
      <c r="AC65" s="19" t="str">
        <f t="shared" si="20"/>
        <v>E</v>
      </c>
      <c r="AD65" s="19" t="str">
        <f t="shared" si="20"/>
        <v>B</v>
      </c>
      <c r="AE65" s="19" t="str">
        <f t="shared" si="20"/>
        <v>B</v>
      </c>
      <c r="AF65" s="19" t="str">
        <f t="shared" si="20"/>
        <v>C</v>
      </c>
      <c r="AG65" s="19" t="str">
        <f t="shared" si="20"/>
        <v>D</v>
      </c>
      <c r="AH65" s="19" t="str">
        <f t="shared" si="20"/>
        <v>D</v>
      </c>
      <c r="AI65" s="19" t="str">
        <f t="shared" si="20"/>
        <v>B</v>
      </c>
      <c r="AJ65" s="19" t="str">
        <f t="shared" si="20"/>
        <v>B</v>
      </c>
      <c r="AK65" s="19" t="str">
        <f t="shared" si="20"/>
        <v>C</v>
      </c>
      <c r="AL65" s="19" t="str">
        <f t="shared" si="20"/>
        <v>C</v>
      </c>
      <c r="AM65" s="19" t="str">
        <f t="shared" si="20"/>
        <v>D</v>
      </c>
    </row>
    <row r="66" spans="1:39" ht="15.75" hidden="1" customHeight="1" outlineLevel="1">
      <c r="A66" s="2" t="s">
        <v>12</v>
      </c>
      <c r="B66" s="19" t="str">
        <f t="shared" ref="B66:AM66" si="21">VLOOKUP((VLOOKUP($A42,SEEDS,2)&amp;VLOOKUP(B42,SEEDS,2)&amp;(IF(EXACT(B42,UPPER(B42)),"H","A"))),DIFF,2,FALSE)</f>
        <v>E</v>
      </c>
      <c r="C66" s="19" t="str">
        <f t="shared" si="21"/>
        <v>C</v>
      </c>
      <c r="D66" s="19" t="str">
        <f t="shared" si="21"/>
        <v>B</v>
      </c>
      <c r="E66" s="19" t="str">
        <f t="shared" si="21"/>
        <v>C</v>
      </c>
      <c r="F66" s="19" t="str">
        <f t="shared" si="21"/>
        <v>B</v>
      </c>
      <c r="G66" s="19" t="str">
        <f t="shared" si="21"/>
        <v>C</v>
      </c>
      <c r="H66" s="19" t="str">
        <f t="shared" si="21"/>
        <v>D</v>
      </c>
      <c r="I66" s="19" t="str">
        <f t="shared" si="21"/>
        <v>D</v>
      </c>
      <c r="J66" s="19" t="str">
        <f t="shared" si="21"/>
        <v>C</v>
      </c>
      <c r="K66" s="19" t="str">
        <f t="shared" si="21"/>
        <v>B</v>
      </c>
      <c r="L66" s="19" t="str">
        <f t="shared" si="21"/>
        <v>C</v>
      </c>
      <c r="M66" s="19" t="str">
        <f t="shared" si="21"/>
        <v>E</v>
      </c>
      <c r="N66" s="19" t="str">
        <f t="shared" si="21"/>
        <v>C</v>
      </c>
      <c r="O66" s="19" t="str">
        <f t="shared" si="21"/>
        <v>D</v>
      </c>
      <c r="P66" s="19" t="str">
        <f t="shared" si="21"/>
        <v>C</v>
      </c>
      <c r="Q66" s="19" t="str">
        <f t="shared" si="21"/>
        <v>B</v>
      </c>
      <c r="R66" s="19" t="str">
        <f t="shared" si="21"/>
        <v>D</v>
      </c>
      <c r="S66" s="19" t="str">
        <f t="shared" si="21"/>
        <v>B</v>
      </c>
      <c r="T66" s="19" t="str">
        <f t="shared" si="21"/>
        <v>B</v>
      </c>
      <c r="U66" s="19" t="str">
        <f t="shared" si="21"/>
        <v>D</v>
      </c>
      <c r="V66" s="19" t="str">
        <f t="shared" si="21"/>
        <v>B</v>
      </c>
      <c r="W66" s="19" t="str">
        <f t="shared" si="21"/>
        <v>B</v>
      </c>
      <c r="X66" s="19" t="str">
        <f t="shared" si="21"/>
        <v>C</v>
      </c>
      <c r="Y66" s="19" t="str">
        <f t="shared" si="21"/>
        <v>B</v>
      </c>
      <c r="Z66" s="19" t="str">
        <f t="shared" si="21"/>
        <v>B</v>
      </c>
      <c r="AA66" s="19" t="str">
        <f t="shared" si="21"/>
        <v>E</v>
      </c>
      <c r="AB66" s="19" t="str">
        <f t="shared" si="21"/>
        <v>C</v>
      </c>
      <c r="AC66" s="19" t="str">
        <f t="shared" si="21"/>
        <v>C</v>
      </c>
      <c r="AD66" s="19" t="str">
        <f t="shared" si="21"/>
        <v>D</v>
      </c>
      <c r="AE66" s="19" t="str">
        <f t="shared" si="21"/>
        <v>C</v>
      </c>
      <c r="AF66" s="19" t="str">
        <f t="shared" si="21"/>
        <v>B</v>
      </c>
      <c r="AG66" s="19" t="str">
        <f t="shared" si="21"/>
        <v>D</v>
      </c>
      <c r="AH66" s="19" t="str">
        <f t="shared" si="21"/>
        <v>D</v>
      </c>
      <c r="AI66" s="19" t="str">
        <f t="shared" si="21"/>
        <v>D</v>
      </c>
      <c r="AJ66" s="19" t="str">
        <f t="shared" si="21"/>
        <v>C</v>
      </c>
      <c r="AK66" s="19" t="str">
        <f t="shared" si="21"/>
        <v>E</v>
      </c>
      <c r="AL66" s="19" t="str">
        <f t="shared" si="21"/>
        <v>C</v>
      </c>
      <c r="AM66" s="19" t="str">
        <f t="shared" si="21"/>
        <v>B</v>
      </c>
    </row>
    <row r="67" spans="1:39" ht="15.75" hidden="1" customHeight="1" outlineLevel="1">
      <c r="A67" s="2" t="s">
        <v>32</v>
      </c>
      <c r="B67" s="19" t="str">
        <f t="shared" ref="B67:AM67" si="22">VLOOKUP((VLOOKUP($A43,SEEDS,2)&amp;VLOOKUP(B43,SEEDS,2)&amp;(IF(EXACT(B43,UPPER(B43)),"H","A"))),DIFF,2,FALSE)</f>
        <v>D</v>
      </c>
      <c r="C67" s="19" t="str">
        <f t="shared" si="22"/>
        <v>C</v>
      </c>
      <c r="D67" s="19" t="str">
        <f t="shared" si="22"/>
        <v>C</v>
      </c>
      <c r="E67" s="19" t="str">
        <f t="shared" si="22"/>
        <v>E</v>
      </c>
      <c r="F67" s="19" t="str">
        <f t="shared" si="22"/>
        <v>C</v>
      </c>
      <c r="G67" s="19" t="str">
        <f t="shared" si="22"/>
        <v>C</v>
      </c>
      <c r="H67" s="19" t="str">
        <f t="shared" si="22"/>
        <v>C</v>
      </c>
      <c r="I67" s="19" t="str">
        <f t="shared" si="22"/>
        <v>C</v>
      </c>
      <c r="J67" s="19" t="str">
        <f t="shared" si="22"/>
        <v>D</v>
      </c>
      <c r="K67" s="19" t="str">
        <f t="shared" si="22"/>
        <v>D</v>
      </c>
      <c r="L67" s="19" t="str">
        <f t="shared" si="22"/>
        <v>C</v>
      </c>
      <c r="M67" s="19" t="str">
        <f t="shared" si="22"/>
        <v>C</v>
      </c>
      <c r="N67" s="19" t="str">
        <f t="shared" si="22"/>
        <v>D</v>
      </c>
      <c r="O67" s="19" t="str">
        <f t="shared" si="22"/>
        <v>C</v>
      </c>
      <c r="P67" s="19" t="str">
        <f t="shared" si="22"/>
        <v>B</v>
      </c>
      <c r="Q67" s="19" t="str">
        <f t="shared" si="22"/>
        <v>C</v>
      </c>
      <c r="R67" s="19" t="str">
        <f t="shared" si="22"/>
        <v>C</v>
      </c>
      <c r="S67" s="19" t="str">
        <f t="shared" si="22"/>
        <v>E</v>
      </c>
      <c r="T67" s="19" t="str">
        <f t="shared" si="22"/>
        <v>C</v>
      </c>
      <c r="U67" s="19" t="str">
        <f t="shared" si="22"/>
        <v>D</v>
      </c>
      <c r="V67" s="19" t="str">
        <f t="shared" si="22"/>
        <v>D</v>
      </c>
      <c r="W67" s="19" t="str">
        <f t="shared" si="22"/>
        <v>D</v>
      </c>
      <c r="X67" s="19" t="str">
        <f t="shared" si="22"/>
        <v>B</v>
      </c>
      <c r="Y67" s="19" t="str">
        <f t="shared" si="22"/>
        <v>D</v>
      </c>
      <c r="Z67" s="19" t="str">
        <f t="shared" si="22"/>
        <v>D</v>
      </c>
      <c r="AA67" s="19" t="str">
        <f t="shared" si="22"/>
        <v>C</v>
      </c>
      <c r="AB67" s="19" t="str">
        <f t="shared" si="22"/>
        <v>B</v>
      </c>
      <c r="AC67" s="19" t="str">
        <f t="shared" si="22"/>
        <v>E</v>
      </c>
      <c r="AD67" s="19" t="str">
        <f t="shared" si="22"/>
        <v>B</v>
      </c>
      <c r="AE67" s="19" t="str">
        <f t="shared" si="22"/>
        <v>C</v>
      </c>
      <c r="AF67" s="19" t="str">
        <f t="shared" si="22"/>
        <v>C</v>
      </c>
      <c r="AG67" s="19" t="str">
        <f t="shared" si="22"/>
        <v>E</v>
      </c>
      <c r="AH67" s="19" t="str">
        <f t="shared" si="22"/>
        <v>C</v>
      </c>
      <c r="AI67" s="19" t="str">
        <f t="shared" si="22"/>
        <v>C</v>
      </c>
      <c r="AJ67" s="19" t="str">
        <f t="shared" si="22"/>
        <v>C</v>
      </c>
      <c r="AK67" s="19" t="str">
        <f t="shared" si="22"/>
        <v>C</v>
      </c>
      <c r="AL67" s="19" t="str">
        <f t="shared" si="22"/>
        <v>D</v>
      </c>
      <c r="AM67" s="19" t="str">
        <f t="shared" si="22"/>
        <v>B</v>
      </c>
    </row>
    <row r="68" spans="1:39" ht="15.75" hidden="1" customHeight="1" outlineLevel="1">
      <c r="A68" s="2" t="s">
        <v>30</v>
      </c>
      <c r="B68" s="19" t="str">
        <f t="shared" ref="B68:AM68" si="23">VLOOKUP((VLOOKUP($A44,SEEDS,2)&amp;VLOOKUP(B44,SEEDS,2)&amp;(IF(EXACT(B44,UPPER(B44)),"H","A"))),DIFF,2,FALSE)</f>
        <v>D</v>
      </c>
      <c r="C68" s="19" t="str">
        <f t="shared" si="23"/>
        <v>C</v>
      </c>
      <c r="D68" s="19" t="str">
        <f t="shared" si="23"/>
        <v>D</v>
      </c>
      <c r="E68" s="19" t="str">
        <f t="shared" si="23"/>
        <v>D</v>
      </c>
      <c r="F68" s="19" t="str">
        <f t="shared" si="23"/>
        <v>C</v>
      </c>
      <c r="G68" s="19" t="str">
        <f t="shared" si="23"/>
        <v>C</v>
      </c>
      <c r="H68" s="19" t="str">
        <f t="shared" si="23"/>
        <v>C</v>
      </c>
      <c r="I68" s="19" t="str">
        <f t="shared" si="23"/>
        <v>C</v>
      </c>
      <c r="J68" s="19" t="str">
        <f t="shared" si="23"/>
        <v>B</v>
      </c>
      <c r="K68" s="19" t="str">
        <f t="shared" si="23"/>
        <v>C</v>
      </c>
      <c r="L68" s="19" t="str">
        <f t="shared" si="23"/>
        <v>B</v>
      </c>
      <c r="M68" s="19" t="str">
        <f t="shared" si="23"/>
        <v>E</v>
      </c>
      <c r="N68" s="19" t="str">
        <f t="shared" si="23"/>
        <v>D</v>
      </c>
      <c r="O68" s="19" t="str">
        <f t="shared" si="23"/>
        <v>C</v>
      </c>
      <c r="P68" s="19" t="str">
        <f t="shared" si="23"/>
        <v>C</v>
      </c>
      <c r="Q68" s="19" t="str">
        <f t="shared" si="23"/>
        <v>D</v>
      </c>
      <c r="R68" s="19" t="str">
        <f t="shared" si="23"/>
        <v>B</v>
      </c>
      <c r="S68" s="19" t="str">
        <f t="shared" si="23"/>
        <v>D</v>
      </c>
      <c r="T68" s="19" t="str">
        <f t="shared" si="23"/>
        <v>B</v>
      </c>
      <c r="U68" s="19" t="str">
        <f t="shared" si="23"/>
        <v>C</v>
      </c>
      <c r="V68" s="19" t="str">
        <f t="shared" si="23"/>
        <v>E</v>
      </c>
      <c r="W68" s="19" t="str">
        <f t="shared" si="23"/>
        <v>D</v>
      </c>
      <c r="X68" s="19" t="str">
        <f t="shared" si="23"/>
        <v>C</v>
      </c>
      <c r="Y68" s="19" t="str">
        <f t="shared" si="23"/>
        <v>C</v>
      </c>
      <c r="Z68" s="19" t="str">
        <f t="shared" si="23"/>
        <v>C</v>
      </c>
      <c r="AA68" s="19" t="str">
        <f t="shared" si="23"/>
        <v>D</v>
      </c>
      <c r="AB68" s="19" t="str">
        <f t="shared" si="23"/>
        <v>C</v>
      </c>
      <c r="AC68" s="19" t="str">
        <f t="shared" si="23"/>
        <v>C</v>
      </c>
      <c r="AD68" s="19" t="str">
        <f t="shared" si="23"/>
        <v>D</v>
      </c>
      <c r="AE68" s="19" t="str">
        <f t="shared" si="23"/>
        <v>E</v>
      </c>
      <c r="AF68" s="19" t="str">
        <f t="shared" si="23"/>
        <v>B</v>
      </c>
      <c r="AG68" s="19" t="str">
        <f t="shared" si="23"/>
        <v>C</v>
      </c>
      <c r="AH68" s="19" t="str">
        <f t="shared" si="23"/>
        <v>E</v>
      </c>
      <c r="AI68" s="19" t="str">
        <f t="shared" si="23"/>
        <v>B</v>
      </c>
      <c r="AJ68" s="19" t="str">
        <f t="shared" si="23"/>
        <v>D</v>
      </c>
      <c r="AK68" s="19" t="str">
        <f t="shared" si="23"/>
        <v>C</v>
      </c>
      <c r="AL68" s="19" t="str">
        <f t="shared" si="23"/>
        <v>C</v>
      </c>
      <c r="AM68" s="19" t="str">
        <f t="shared" si="23"/>
        <v>C</v>
      </c>
    </row>
    <row r="69" spans="1:39" ht="15.75" hidden="1" customHeight="1" outlineLevel="1" thickBot="1">
      <c r="A69" s="3" t="s">
        <v>1</v>
      </c>
      <c r="B69" s="19" t="str">
        <f t="shared" ref="B69:AM69" si="24">VLOOKUP((VLOOKUP($A45,SEEDS,2)&amp;VLOOKUP(B45,SEEDS,2)&amp;(IF(EXACT(B45,UPPER(B45)),"H","A"))),DIFF,2,FALSE)</f>
        <v>E</v>
      </c>
      <c r="C69" s="19" t="str">
        <f t="shared" si="24"/>
        <v>B</v>
      </c>
      <c r="D69" s="19" t="str">
        <f t="shared" si="24"/>
        <v>B</v>
      </c>
      <c r="E69" s="19" t="str">
        <f t="shared" si="24"/>
        <v>D</v>
      </c>
      <c r="F69" s="19" t="str">
        <f t="shared" si="24"/>
        <v>B</v>
      </c>
      <c r="G69" s="19" t="str">
        <f t="shared" si="24"/>
        <v>E</v>
      </c>
      <c r="H69" s="19" t="str">
        <f t="shared" si="24"/>
        <v>B</v>
      </c>
      <c r="I69" s="19" t="str">
        <f t="shared" si="24"/>
        <v>C</v>
      </c>
      <c r="J69" s="19" t="str">
        <f t="shared" si="24"/>
        <v>C</v>
      </c>
      <c r="K69" s="19" t="str">
        <f t="shared" si="24"/>
        <v>D</v>
      </c>
      <c r="L69" s="19" t="str">
        <f t="shared" si="24"/>
        <v>C</v>
      </c>
      <c r="M69" s="19" t="str">
        <f t="shared" si="24"/>
        <v>C</v>
      </c>
      <c r="N69" s="19" t="str">
        <f t="shared" si="24"/>
        <v>D</v>
      </c>
      <c r="O69" s="19" t="str">
        <f t="shared" si="24"/>
        <v>C</v>
      </c>
      <c r="P69" s="19" t="str">
        <f t="shared" si="24"/>
        <v>E</v>
      </c>
      <c r="Q69" s="19" t="str">
        <f t="shared" si="24"/>
        <v>C</v>
      </c>
      <c r="R69" s="19" t="str">
        <f t="shared" si="24"/>
        <v>D</v>
      </c>
      <c r="S69" s="19" t="str">
        <f t="shared" si="24"/>
        <v>C</v>
      </c>
      <c r="T69" s="19" t="str">
        <f t="shared" si="24"/>
        <v>C</v>
      </c>
      <c r="U69" s="19" t="str">
        <f t="shared" si="24"/>
        <v>C</v>
      </c>
      <c r="V69" s="19" t="str">
        <f t="shared" si="24"/>
        <v>C</v>
      </c>
      <c r="W69" s="19" t="str">
        <f t="shared" si="24"/>
        <v>C</v>
      </c>
      <c r="X69" s="19" t="str">
        <f t="shared" si="24"/>
        <v>D</v>
      </c>
      <c r="Y69" s="19" t="str">
        <f t="shared" si="24"/>
        <v>C</v>
      </c>
      <c r="Z69" s="19" t="str">
        <f t="shared" si="24"/>
        <v>D</v>
      </c>
      <c r="AA69" s="19" t="str">
        <f t="shared" si="24"/>
        <v>C</v>
      </c>
      <c r="AB69" s="19" t="str">
        <f t="shared" si="24"/>
        <v>B</v>
      </c>
      <c r="AC69" s="19" t="str">
        <f t="shared" si="24"/>
        <v>C</v>
      </c>
      <c r="AD69" s="19" t="str">
        <f t="shared" si="24"/>
        <v>D</v>
      </c>
      <c r="AE69" s="19" t="str">
        <f t="shared" si="24"/>
        <v>B</v>
      </c>
      <c r="AF69" s="19" t="str">
        <f t="shared" si="24"/>
        <v>E</v>
      </c>
      <c r="AG69" s="19" t="str">
        <f t="shared" si="24"/>
        <v>C</v>
      </c>
      <c r="AH69" s="19" t="str">
        <f t="shared" si="24"/>
        <v>D</v>
      </c>
      <c r="AI69" s="19" t="str">
        <f t="shared" si="24"/>
        <v>C</v>
      </c>
      <c r="AJ69" s="19" t="str">
        <f t="shared" si="24"/>
        <v>D</v>
      </c>
      <c r="AK69" s="19" t="str">
        <f t="shared" si="24"/>
        <v>C</v>
      </c>
      <c r="AL69" s="19" t="str">
        <f t="shared" si="24"/>
        <v>C</v>
      </c>
      <c r="AM69" s="19" t="str">
        <f t="shared" si="24"/>
        <v>D</v>
      </c>
    </row>
    <row r="70" spans="1:39" ht="15.75" customHeight="1" collapsed="1"/>
  </sheetData>
  <mergeCells count="1">
    <mergeCell ref="A23:A24"/>
  </mergeCells>
  <conditionalFormatting sqref="B26:AM45">
    <cfRule type="expression" dxfId="56" priority="11">
      <formula>(B50)=("E")</formula>
    </cfRule>
    <cfRule type="expression" dxfId="55" priority="12">
      <formula>(B50)=("D")</formula>
    </cfRule>
    <cfRule type="expression" dxfId="54" priority="13">
      <formula>(B50)=("C")</formula>
    </cfRule>
    <cfRule type="expression" dxfId="53" priority="14">
      <formula>(B50)=("A")</formula>
    </cfRule>
    <cfRule type="expression" dxfId="52" priority="15">
      <formula>(B50)=("B")</formula>
    </cfRule>
  </conditionalFormatting>
  <conditionalFormatting sqref="B22:AM45">
    <cfRule type="expression" dxfId="51" priority="6">
      <formula>(B46)=("E")</formula>
    </cfRule>
  </conditionalFormatting>
  <conditionalFormatting sqref="B2:AM21">
    <cfRule type="expression" dxfId="50" priority="1">
      <formula>(VLOOKUP($A2,$A$49:$AM$69,(B$1+1),FALSE)="E")</formula>
    </cfRule>
    <cfRule type="expression" dxfId="49" priority="2">
      <formula>(VLOOKUP($A2,$A$49:$AM$69,(B$1+1),FALSE)="D")</formula>
    </cfRule>
    <cfRule type="expression" dxfId="48" priority="3">
      <formula>(VLOOKUP($A2,$A$49:$AM$69,(B$1+1),FALSE)="C")</formula>
    </cfRule>
    <cfRule type="expression" dxfId="47" priority="4">
      <formula>(VLOOKUP($A2,$A$49:$AM$69,(B$1+1),FALSE)="A")</formula>
    </cfRule>
    <cfRule type="expression" dxfId="46" priority="5">
      <formula>(VLOOKUP($A2,$A$49:$AM$69,(B$1+1),FALSE)="B")</formula>
    </cfRule>
  </conditionalFormatting>
  <dataValidations count="1">
    <dataValidation type="list" allowBlank="1" showInputMessage="1" showErrorMessage="1" sqref="A26:A45 A2:A22" xr:uid="{00000000-0002-0000-0100-000000000000}">
      <formula1>TEAMS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3:N35"/>
  <sheetViews>
    <sheetView workbookViewId="0">
      <selection activeCell="N18" sqref="N18"/>
    </sheetView>
  </sheetViews>
  <sheetFormatPr defaultRowHeight="13.15" outlineLevelCol="1"/>
  <cols>
    <col min="6" max="6" width="23" customWidth="1"/>
    <col min="9" max="9" width="22.7109375" customWidth="1"/>
    <col min="12" max="12" width="25" hidden="1" customWidth="1" outlineLevel="1"/>
    <col min="13" max="13" width="8.85546875" hidden="1" customWidth="1" outlineLevel="1"/>
    <col min="14" max="14" width="8.85546875" collapsed="1"/>
    <col min="15" max="15" width="20.85546875" customWidth="1"/>
  </cols>
  <sheetData>
    <row r="3" spans="2:13" ht="13.9" thickBot="1"/>
    <row r="4" spans="2:13" ht="15" thickBot="1">
      <c r="B4" s="5" t="s">
        <v>0</v>
      </c>
      <c r="C4" s="29">
        <v>1</v>
      </c>
      <c r="F4" s="61" t="s">
        <v>42</v>
      </c>
      <c r="G4" s="32" t="s">
        <v>43</v>
      </c>
      <c r="H4" s="8"/>
      <c r="I4" s="61" t="s">
        <v>44</v>
      </c>
      <c r="J4" s="32" t="s">
        <v>45</v>
      </c>
      <c r="L4" s="61" t="s">
        <v>46</v>
      </c>
      <c r="M4" s="11" t="str">
        <f>G4</f>
        <v>A</v>
      </c>
    </row>
    <row r="5" spans="2:13" ht="15" thickBot="1">
      <c r="B5" s="6" t="s">
        <v>38</v>
      </c>
      <c r="C5" s="30">
        <v>3</v>
      </c>
      <c r="F5" s="62" t="s">
        <v>47</v>
      </c>
      <c r="G5" s="33" t="s">
        <v>45</v>
      </c>
      <c r="H5" s="8"/>
      <c r="I5" s="62" t="s">
        <v>48</v>
      </c>
      <c r="J5" s="33" t="s">
        <v>45</v>
      </c>
      <c r="L5" s="62" t="s">
        <v>49</v>
      </c>
      <c r="M5" s="11" t="str">
        <f t="shared" ref="M5:M11" si="0">G5</f>
        <v>B</v>
      </c>
    </row>
    <row r="6" spans="2:13" ht="15" thickBot="1">
      <c r="B6" s="6" t="s">
        <v>19</v>
      </c>
      <c r="C6" s="30">
        <v>4</v>
      </c>
      <c r="F6" s="62" t="s">
        <v>50</v>
      </c>
      <c r="G6" s="33" t="s">
        <v>45</v>
      </c>
      <c r="H6" s="8"/>
      <c r="I6" s="62" t="s">
        <v>51</v>
      </c>
      <c r="J6" s="33" t="s">
        <v>52</v>
      </c>
      <c r="L6" s="62" t="s">
        <v>53</v>
      </c>
      <c r="M6" s="11" t="str">
        <f t="shared" si="0"/>
        <v>B</v>
      </c>
    </row>
    <row r="7" spans="2:13" ht="15" thickBot="1">
      <c r="B7" s="6" t="s">
        <v>23</v>
      </c>
      <c r="C7" s="30">
        <v>1</v>
      </c>
      <c r="F7" s="62" t="s">
        <v>54</v>
      </c>
      <c r="G7" s="33" t="s">
        <v>52</v>
      </c>
      <c r="H7" s="8"/>
      <c r="I7" s="62" t="s">
        <v>55</v>
      </c>
      <c r="J7" s="33" t="s">
        <v>52</v>
      </c>
      <c r="L7" s="62" t="s">
        <v>56</v>
      </c>
      <c r="M7" s="11" t="str">
        <f t="shared" si="0"/>
        <v>C</v>
      </c>
    </row>
    <row r="8" spans="2:13" ht="15" thickBot="1">
      <c r="B8" s="6" t="s">
        <v>34</v>
      </c>
      <c r="C8" s="30">
        <v>3</v>
      </c>
      <c r="F8" s="62" t="s">
        <v>57</v>
      </c>
      <c r="G8" s="33" t="s">
        <v>52</v>
      </c>
      <c r="H8" s="8"/>
      <c r="I8" s="62" t="s">
        <v>58</v>
      </c>
      <c r="J8" s="33" t="s">
        <v>52</v>
      </c>
      <c r="L8" s="62" t="s">
        <v>59</v>
      </c>
      <c r="M8" s="11" t="str">
        <f t="shared" si="0"/>
        <v>C</v>
      </c>
    </row>
    <row r="9" spans="2:13" ht="15" thickBot="1">
      <c r="B9" s="6" t="s">
        <v>10</v>
      </c>
      <c r="C9" s="30">
        <v>2</v>
      </c>
      <c r="F9" s="62" t="s">
        <v>60</v>
      </c>
      <c r="G9" s="33" t="s">
        <v>52</v>
      </c>
      <c r="H9" s="8"/>
      <c r="I9" s="62" t="s">
        <v>61</v>
      </c>
      <c r="J9" s="33" t="s">
        <v>62</v>
      </c>
      <c r="L9" s="62" t="s">
        <v>63</v>
      </c>
      <c r="M9" s="11" t="str">
        <f t="shared" si="0"/>
        <v>C</v>
      </c>
    </row>
    <row r="10" spans="2:13" ht="15" thickBot="1">
      <c r="B10" s="6" t="s">
        <v>26</v>
      </c>
      <c r="C10" s="30">
        <v>4</v>
      </c>
      <c r="F10" s="62" t="s">
        <v>64</v>
      </c>
      <c r="G10" s="33" t="s">
        <v>62</v>
      </c>
      <c r="H10" s="8"/>
      <c r="I10" s="62" t="s">
        <v>65</v>
      </c>
      <c r="J10" s="33" t="s">
        <v>62</v>
      </c>
      <c r="L10" s="63" t="s">
        <v>66</v>
      </c>
      <c r="M10" s="11" t="str">
        <f t="shared" si="0"/>
        <v>D</v>
      </c>
    </row>
    <row r="11" spans="2:13" ht="15" thickBot="1">
      <c r="B11" s="6" t="s">
        <v>3</v>
      </c>
      <c r="C11" s="30">
        <v>2</v>
      </c>
      <c r="F11" s="64" t="s">
        <v>67</v>
      </c>
      <c r="G11" s="34" t="s">
        <v>62</v>
      </c>
      <c r="H11" s="8"/>
      <c r="I11" s="64" t="s">
        <v>68</v>
      </c>
      <c r="J11" s="34" t="s">
        <v>69</v>
      </c>
      <c r="L11" s="65" t="s">
        <v>70</v>
      </c>
      <c r="M11" s="11" t="str">
        <f t="shared" si="0"/>
        <v>D</v>
      </c>
    </row>
    <row r="12" spans="2:13" ht="15" thickBot="1">
      <c r="B12" s="6" t="s">
        <v>17</v>
      </c>
      <c r="C12" s="30">
        <v>1</v>
      </c>
      <c r="F12" s="35"/>
      <c r="G12" s="9"/>
      <c r="H12" s="10"/>
      <c r="I12" s="10"/>
      <c r="J12" s="10"/>
      <c r="L12" s="65" t="s">
        <v>71</v>
      </c>
      <c r="M12" s="18" t="str">
        <f>J4</f>
        <v>B</v>
      </c>
    </row>
    <row r="13" spans="2:13" ht="14.45">
      <c r="B13" s="6" t="s">
        <v>8</v>
      </c>
      <c r="C13" s="30">
        <v>1</v>
      </c>
      <c r="F13" s="12" t="s">
        <v>72</v>
      </c>
      <c r="G13" s="32" t="s">
        <v>45</v>
      </c>
      <c r="H13" s="8"/>
      <c r="I13" s="12" t="s">
        <v>73</v>
      </c>
      <c r="J13" s="32" t="s">
        <v>45</v>
      </c>
      <c r="L13" s="66" t="s">
        <v>74</v>
      </c>
      <c r="M13" s="18" t="str">
        <f t="shared" ref="M13:M19" si="1">J5</f>
        <v>B</v>
      </c>
    </row>
    <row r="14" spans="2:13" ht="14.45">
      <c r="B14" s="6" t="s">
        <v>20</v>
      </c>
      <c r="C14" s="30">
        <v>4</v>
      </c>
      <c r="F14" s="13" t="s">
        <v>75</v>
      </c>
      <c r="G14" s="33" t="s">
        <v>52</v>
      </c>
      <c r="H14" s="8"/>
      <c r="I14" s="13" t="s">
        <v>76</v>
      </c>
      <c r="J14" s="33" t="s">
        <v>52</v>
      </c>
      <c r="L14" s="62" t="s">
        <v>77</v>
      </c>
      <c r="M14" s="18" t="str">
        <f t="shared" si="1"/>
        <v>C</v>
      </c>
    </row>
    <row r="15" spans="2:13" ht="14.45">
      <c r="B15" s="6" t="s">
        <v>36</v>
      </c>
      <c r="C15" s="30">
        <v>4</v>
      </c>
      <c r="F15" s="13" t="s">
        <v>78</v>
      </c>
      <c r="G15" s="33" t="s">
        <v>52</v>
      </c>
      <c r="H15" s="8"/>
      <c r="I15" s="13" t="s">
        <v>79</v>
      </c>
      <c r="J15" s="33" t="s">
        <v>52</v>
      </c>
      <c r="L15" s="62" t="s">
        <v>80</v>
      </c>
      <c r="M15" s="18" t="str">
        <f t="shared" si="1"/>
        <v>C</v>
      </c>
    </row>
    <row r="16" spans="2:13" ht="14.45">
      <c r="B16" s="6" t="s">
        <v>24</v>
      </c>
      <c r="C16" s="30">
        <v>2</v>
      </c>
      <c r="F16" s="13" t="s">
        <v>81</v>
      </c>
      <c r="G16" s="33" t="s">
        <v>52</v>
      </c>
      <c r="H16" s="8"/>
      <c r="I16" s="13" t="s">
        <v>82</v>
      </c>
      <c r="J16" s="33" t="s">
        <v>52</v>
      </c>
      <c r="L16" s="62" t="s">
        <v>83</v>
      </c>
      <c r="M16" s="18" t="str">
        <f t="shared" si="1"/>
        <v>C</v>
      </c>
    </row>
    <row r="17" spans="2:13" ht="14.45">
      <c r="B17" s="6" t="s">
        <v>5</v>
      </c>
      <c r="C17" s="30">
        <v>2</v>
      </c>
      <c r="F17" s="13" t="s">
        <v>84</v>
      </c>
      <c r="G17" s="33" t="s">
        <v>52</v>
      </c>
      <c r="H17" s="8"/>
      <c r="I17" s="13" t="s">
        <v>85</v>
      </c>
      <c r="J17" s="33" t="s">
        <v>52</v>
      </c>
      <c r="L17" s="62" t="s">
        <v>86</v>
      </c>
      <c r="M17" s="18" t="str">
        <f t="shared" si="1"/>
        <v>D</v>
      </c>
    </row>
    <row r="18" spans="2:13" ht="14.45">
      <c r="B18" s="6" t="s">
        <v>15</v>
      </c>
      <c r="C18" s="30">
        <v>4</v>
      </c>
      <c r="F18" s="13" t="s">
        <v>87</v>
      </c>
      <c r="G18" s="33" t="s">
        <v>62</v>
      </c>
      <c r="H18" s="8"/>
      <c r="I18" s="13" t="s">
        <v>88</v>
      </c>
      <c r="J18" s="33" t="s">
        <v>62</v>
      </c>
      <c r="L18" s="63" t="s">
        <v>89</v>
      </c>
      <c r="M18" s="18" t="str">
        <f t="shared" si="1"/>
        <v>D</v>
      </c>
    </row>
    <row r="19" spans="2:13" ht="14.45">
      <c r="B19" s="6" t="s">
        <v>28</v>
      </c>
      <c r="C19" s="30">
        <v>2</v>
      </c>
      <c r="F19" s="13" t="s">
        <v>90</v>
      </c>
      <c r="G19" s="33" t="s">
        <v>62</v>
      </c>
      <c r="H19" s="8"/>
      <c r="I19" s="13" t="s">
        <v>91</v>
      </c>
      <c r="J19" s="33" t="s">
        <v>62</v>
      </c>
      <c r="L19" s="65" t="s">
        <v>92</v>
      </c>
      <c r="M19" s="18" t="str">
        <f t="shared" si="1"/>
        <v>E</v>
      </c>
    </row>
    <row r="20" spans="2:13" ht="15" thickBot="1">
      <c r="B20" s="6" t="s">
        <v>12</v>
      </c>
      <c r="C20" s="30">
        <v>2</v>
      </c>
      <c r="F20" s="14" t="s">
        <v>93</v>
      </c>
      <c r="G20" s="34" t="s">
        <v>69</v>
      </c>
      <c r="H20" s="8"/>
      <c r="I20" s="14" t="s">
        <v>94</v>
      </c>
      <c r="J20" s="34" t="s">
        <v>69</v>
      </c>
      <c r="L20" s="17" t="s">
        <v>95</v>
      </c>
      <c r="M20" s="18" t="str">
        <f>G13</f>
        <v>B</v>
      </c>
    </row>
    <row r="21" spans="2:13" ht="14.45">
      <c r="B21" s="6" t="s">
        <v>32</v>
      </c>
      <c r="C21" s="30">
        <v>4</v>
      </c>
      <c r="L21" s="15" t="s">
        <v>96</v>
      </c>
      <c r="M21" s="18" t="str">
        <f t="shared" ref="M21:M27" si="2">G14</f>
        <v>C</v>
      </c>
    </row>
    <row r="22" spans="2:13" ht="14.45">
      <c r="B22" s="6" t="s">
        <v>30</v>
      </c>
      <c r="C22" s="30">
        <v>3</v>
      </c>
      <c r="L22" s="13" t="s">
        <v>97</v>
      </c>
      <c r="M22" s="18" t="str">
        <f t="shared" si="2"/>
        <v>C</v>
      </c>
    </row>
    <row r="23" spans="2:13" ht="15" thickBot="1">
      <c r="B23" s="7" t="s">
        <v>1</v>
      </c>
      <c r="C23" s="31">
        <v>3</v>
      </c>
      <c r="L23" s="13" t="s">
        <v>98</v>
      </c>
      <c r="M23" s="18" t="str">
        <f t="shared" si="2"/>
        <v>C</v>
      </c>
    </row>
    <row r="24" spans="2:13" ht="14.45">
      <c r="L24" s="13" t="s">
        <v>99</v>
      </c>
      <c r="M24" s="18" t="str">
        <f t="shared" si="2"/>
        <v>C</v>
      </c>
    </row>
    <row r="25" spans="2:13" ht="14.45">
      <c r="L25" s="13" t="s">
        <v>100</v>
      </c>
      <c r="M25" s="18" t="str">
        <f t="shared" si="2"/>
        <v>D</v>
      </c>
    </row>
    <row r="26" spans="2:13" ht="14.45">
      <c r="L26" s="16" t="s">
        <v>101</v>
      </c>
      <c r="M26" s="18" t="str">
        <f t="shared" si="2"/>
        <v>D</v>
      </c>
    </row>
    <row r="27" spans="2:13" ht="14.45">
      <c r="L27" s="17" t="s">
        <v>102</v>
      </c>
      <c r="M27" s="18" t="str">
        <f t="shared" si="2"/>
        <v>E</v>
      </c>
    </row>
    <row r="28" spans="2:13" ht="14.45">
      <c r="L28" s="17" t="s">
        <v>103</v>
      </c>
      <c r="M28" s="18" t="str">
        <f>J13</f>
        <v>B</v>
      </c>
    </row>
    <row r="29" spans="2:13" ht="14.45">
      <c r="L29" s="15" t="s">
        <v>104</v>
      </c>
      <c r="M29" s="18" t="str">
        <f t="shared" ref="M29:M35" si="3">J14</f>
        <v>C</v>
      </c>
    </row>
    <row r="30" spans="2:13" ht="14.45">
      <c r="L30" s="13" t="s">
        <v>105</v>
      </c>
      <c r="M30" s="18" t="str">
        <f t="shared" si="3"/>
        <v>C</v>
      </c>
    </row>
    <row r="31" spans="2:13" ht="14.45">
      <c r="L31" s="13" t="s">
        <v>106</v>
      </c>
      <c r="M31" s="18" t="str">
        <f t="shared" si="3"/>
        <v>C</v>
      </c>
    </row>
    <row r="32" spans="2:13" ht="14.45">
      <c r="L32" s="13" t="s">
        <v>107</v>
      </c>
      <c r="M32" s="18" t="str">
        <f t="shared" si="3"/>
        <v>C</v>
      </c>
    </row>
    <row r="33" spans="12:13" ht="14.45">
      <c r="L33" s="13" t="s">
        <v>108</v>
      </c>
      <c r="M33" s="18" t="str">
        <f t="shared" si="3"/>
        <v>D</v>
      </c>
    </row>
    <row r="34" spans="12:13" ht="14.45">
      <c r="L34" s="13" t="s">
        <v>109</v>
      </c>
      <c r="M34" s="18" t="str">
        <f t="shared" si="3"/>
        <v>D</v>
      </c>
    </row>
    <row r="35" spans="12:13" ht="15" thickBot="1">
      <c r="L35" s="14" t="s">
        <v>110</v>
      </c>
      <c r="M35" s="18" t="str">
        <f t="shared" si="3"/>
        <v>E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1"/>
  <sheetViews>
    <sheetView workbookViewId="0">
      <selection activeCell="K28" sqref="K28"/>
    </sheetView>
  </sheetViews>
  <sheetFormatPr defaultRowHeight="13.15" outlineLevelCol="1"/>
  <cols>
    <col min="1" max="1" width="7.28515625" customWidth="1"/>
    <col min="2" max="2" width="19.5703125" bestFit="1" customWidth="1"/>
    <col min="3" max="3" width="14.7109375" customWidth="1"/>
    <col min="4" max="4" width="13" customWidth="1" outlineLevel="1"/>
    <col min="5" max="5" width="14.5703125" customWidth="1" outlineLevel="1"/>
    <col min="6" max="6" width="12.7109375" customWidth="1" outlineLevel="1"/>
    <col min="7" max="7" width="5.42578125" customWidth="1"/>
    <col min="8" max="8" width="5.5703125" customWidth="1"/>
    <col min="9" max="10" width="5.7109375" customWidth="1"/>
  </cols>
  <sheetData>
    <row r="1" spans="1:10" ht="13.9" thickBot="1">
      <c r="A1" s="50" t="s">
        <v>111</v>
      </c>
      <c r="B1" s="51" t="s">
        <v>112</v>
      </c>
      <c r="C1" s="51" t="s">
        <v>113</v>
      </c>
      <c r="D1" s="51" t="s">
        <v>114</v>
      </c>
      <c r="E1" s="51" t="s">
        <v>115</v>
      </c>
      <c r="F1" s="51" t="s">
        <v>116</v>
      </c>
      <c r="G1" s="51" t="s">
        <v>117</v>
      </c>
      <c r="H1" s="51" t="s">
        <v>118</v>
      </c>
      <c r="I1" s="51" t="s">
        <v>119</v>
      </c>
      <c r="J1" s="52" t="s">
        <v>120</v>
      </c>
    </row>
    <row r="2" spans="1:10">
      <c r="A2" s="45">
        <v>1</v>
      </c>
      <c r="B2" s="46" t="s">
        <v>121</v>
      </c>
      <c r="C2" s="46" t="s">
        <v>122</v>
      </c>
      <c r="D2" s="46" t="s">
        <v>122</v>
      </c>
      <c r="E2" s="46" t="s">
        <v>122</v>
      </c>
      <c r="F2" s="46" t="s">
        <v>122</v>
      </c>
      <c r="G2" s="46">
        <v>0</v>
      </c>
      <c r="H2" s="46">
        <v>0</v>
      </c>
      <c r="I2" s="46">
        <v>0</v>
      </c>
      <c r="J2" s="47">
        <v>0</v>
      </c>
    </row>
    <row r="3" spans="1:10">
      <c r="A3" s="40">
        <v>2</v>
      </c>
      <c r="B3" s="36" t="s">
        <v>123</v>
      </c>
      <c r="C3" s="36" t="s">
        <v>122</v>
      </c>
      <c r="D3" s="36" t="s">
        <v>122</v>
      </c>
      <c r="E3" s="36" t="s">
        <v>122</v>
      </c>
      <c r="F3" s="36" t="s">
        <v>122</v>
      </c>
      <c r="G3" s="36">
        <v>0</v>
      </c>
      <c r="H3" s="36">
        <v>0</v>
      </c>
      <c r="I3" s="36">
        <v>0</v>
      </c>
      <c r="J3" s="41">
        <v>0</v>
      </c>
    </row>
    <row r="4" spans="1:10">
      <c r="A4" s="40">
        <v>3</v>
      </c>
      <c r="B4" s="36" t="s">
        <v>124</v>
      </c>
      <c r="C4" s="36" t="s">
        <v>122</v>
      </c>
      <c r="D4" s="36" t="s">
        <v>122</v>
      </c>
      <c r="E4" s="36" t="s">
        <v>122</v>
      </c>
      <c r="F4" s="36" t="s">
        <v>122</v>
      </c>
      <c r="G4" s="36">
        <v>0</v>
      </c>
      <c r="H4" s="36">
        <v>0</v>
      </c>
      <c r="I4" s="36">
        <v>0</v>
      </c>
      <c r="J4" s="41">
        <v>0</v>
      </c>
    </row>
    <row r="5" spans="1:10">
      <c r="A5" s="40">
        <v>4</v>
      </c>
      <c r="B5" s="36" t="s">
        <v>125</v>
      </c>
      <c r="C5" s="36" t="s">
        <v>122</v>
      </c>
      <c r="D5" s="36" t="s">
        <v>122</v>
      </c>
      <c r="E5" s="36" t="s">
        <v>122</v>
      </c>
      <c r="F5" s="36" t="s">
        <v>122</v>
      </c>
      <c r="G5" s="36">
        <v>0</v>
      </c>
      <c r="H5" s="36">
        <v>0</v>
      </c>
      <c r="I5" s="36">
        <v>0</v>
      </c>
      <c r="J5" s="41">
        <v>0</v>
      </c>
    </row>
    <row r="6" spans="1:10">
      <c r="A6" s="40">
        <v>5</v>
      </c>
      <c r="B6" s="36" t="s">
        <v>126</v>
      </c>
      <c r="C6" s="36" t="s">
        <v>122</v>
      </c>
      <c r="D6" s="36" t="s">
        <v>122</v>
      </c>
      <c r="E6" s="36" t="s">
        <v>122</v>
      </c>
      <c r="F6" s="36" t="s">
        <v>122</v>
      </c>
      <c r="G6" s="36">
        <v>0</v>
      </c>
      <c r="H6" s="36">
        <v>0</v>
      </c>
      <c r="I6" s="36">
        <v>0</v>
      </c>
      <c r="J6" s="41">
        <v>0</v>
      </c>
    </row>
    <row r="7" spans="1:10">
      <c r="A7" s="40">
        <v>6</v>
      </c>
      <c r="B7" s="36" t="s">
        <v>127</v>
      </c>
      <c r="C7" s="36" t="s">
        <v>122</v>
      </c>
      <c r="D7" s="36" t="s">
        <v>122</v>
      </c>
      <c r="E7" s="36" t="s">
        <v>122</v>
      </c>
      <c r="F7" s="36" t="s">
        <v>122</v>
      </c>
      <c r="G7" s="36">
        <v>0</v>
      </c>
      <c r="H7" s="36">
        <v>0</v>
      </c>
      <c r="I7" s="36">
        <v>0</v>
      </c>
      <c r="J7" s="41">
        <v>0</v>
      </c>
    </row>
    <row r="8" spans="1:10">
      <c r="A8" s="40">
        <v>7</v>
      </c>
      <c r="B8" s="36" t="s">
        <v>128</v>
      </c>
      <c r="C8" s="36" t="s">
        <v>122</v>
      </c>
      <c r="D8" s="36" t="s">
        <v>122</v>
      </c>
      <c r="E8" s="36" t="s">
        <v>122</v>
      </c>
      <c r="F8" s="36" t="s">
        <v>122</v>
      </c>
      <c r="G8" s="36">
        <v>0</v>
      </c>
      <c r="H8" s="36">
        <v>0</v>
      </c>
      <c r="I8" s="36">
        <v>0</v>
      </c>
      <c r="J8" s="41">
        <v>0</v>
      </c>
    </row>
    <row r="9" spans="1:10">
      <c r="A9" s="40">
        <v>8</v>
      </c>
      <c r="B9" s="36" t="s">
        <v>129</v>
      </c>
      <c r="C9" s="36" t="s">
        <v>122</v>
      </c>
      <c r="D9" s="36" t="s">
        <v>122</v>
      </c>
      <c r="E9" s="36" t="s">
        <v>122</v>
      </c>
      <c r="F9" s="36" t="s">
        <v>122</v>
      </c>
      <c r="G9" s="36">
        <v>0</v>
      </c>
      <c r="H9" s="36">
        <v>0</v>
      </c>
      <c r="I9" s="36">
        <v>0</v>
      </c>
      <c r="J9" s="41">
        <v>0</v>
      </c>
    </row>
    <row r="10" spans="1:10">
      <c r="A10" s="40">
        <v>9</v>
      </c>
      <c r="B10" s="36" t="s">
        <v>130</v>
      </c>
      <c r="C10" s="36" t="s">
        <v>122</v>
      </c>
      <c r="D10" s="36" t="s">
        <v>122</v>
      </c>
      <c r="E10" s="36" t="s">
        <v>122</v>
      </c>
      <c r="F10" s="36" t="s">
        <v>122</v>
      </c>
      <c r="G10" s="36">
        <v>0</v>
      </c>
      <c r="H10" s="36">
        <v>0</v>
      </c>
      <c r="I10" s="36">
        <v>0</v>
      </c>
      <c r="J10" s="41">
        <v>0</v>
      </c>
    </row>
    <row r="11" spans="1:10">
      <c r="A11" s="40">
        <v>10</v>
      </c>
      <c r="B11" s="36" t="s">
        <v>131</v>
      </c>
      <c r="C11" s="36" t="s">
        <v>122</v>
      </c>
      <c r="D11" s="36" t="s">
        <v>122</v>
      </c>
      <c r="E11" s="36" t="s">
        <v>122</v>
      </c>
      <c r="F11" s="36" t="s">
        <v>122</v>
      </c>
      <c r="G11" s="36">
        <v>0</v>
      </c>
      <c r="H11" s="36">
        <v>0</v>
      </c>
      <c r="I11" s="36">
        <v>0</v>
      </c>
      <c r="J11" s="41">
        <v>0</v>
      </c>
    </row>
    <row r="12" spans="1:10">
      <c r="A12" s="40">
        <v>11</v>
      </c>
      <c r="B12" s="36" t="s">
        <v>132</v>
      </c>
      <c r="C12" s="36" t="s">
        <v>122</v>
      </c>
      <c r="D12" s="36" t="s">
        <v>122</v>
      </c>
      <c r="E12" s="36" t="s">
        <v>122</v>
      </c>
      <c r="F12" s="36" t="s">
        <v>122</v>
      </c>
      <c r="G12" s="36">
        <v>0</v>
      </c>
      <c r="H12" s="36">
        <v>0</v>
      </c>
      <c r="I12" s="36">
        <v>0</v>
      </c>
      <c r="J12" s="41">
        <v>0</v>
      </c>
    </row>
    <row r="13" spans="1:10">
      <c r="A13" s="40">
        <v>12</v>
      </c>
      <c r="B13" s="36" t="s">
        <v>133</v>
      </c>
      <c r="C13" s="36" t="s">
        <v>122</v>
      </c>
      <c r="D13" s="36" t="s">
        <v>122</v>
      </c>
      <c r="E13" s="36" t="s">
        <v>122</v>
      </c>
      <c r="F13" s="36" t="s">
        <v>122</v>
      </c>
      <c r="G13" s="36">
        <v>0</v>
      </c>
      <c r="H13" s="36">
        <v>0</v>
      </c>
      <c r="I13" s="36">
        <v>0</v>
      </c>
      <c r="J13" s="41">
        <v>0</v>
      </c>
    </row>
    <row r="14" spans="1:10">
      <c r="A14" s="40">
        <v>13</v>
      </c>
      <c r="B14" s="36" t="s">
        <v>134</v>
      </c>
      <c r="C14" s="36" t="s">
        <v>122</v>
      </c>
      <c r="D14" s="36" t="s">
        <v>122</v>
      </c>
      <c r="E14" s="36" t="s">
        <v>122</v>
      </c>
      <c r="F14" s="36" t="s">
        <v>122</v>
      </c>
      <c r="G14" s="36">
        <v>0</v>
      </c>
      <c r="H14" s="36">
        <v>0</v>
      </c>
      <c r="I14" s="36">
        <v>0</v>
      </c>
      <c r="J14" s="41">
        <v>0</v>
      </c>
    </row>
    <row r="15" spans="1:10">
      <c r="A15" s="40">
        <v>14</v>
      </c>
      <c r="B15" s="36" t="s">
        <v>135</v>
      </c>
      <c r="C15" s="36" t="s">
        <v>122</v>
      </c>
      <c r="D15" s="36" t="s">
        <v>122</v>
      </c>
      <c r="E15" s="36" t="s">
        <v>122</v>
      </c>
      <c r="F15" s="36" t="s">
        <v>122</v>
      </c>
      <c r="G15" s="36">
        <v>0</v>
      </c>
      <c r="H15" s="36">
        <v>0</v>
      </c>
      <c r="I15" s="36">
        <v>0</v>
      </c>
      <c r="J15" s="41">
        <v>0</v>
      </c>
    </row>
    <row r="16" spans="1:10">
      <c r="A16" s="40">
        <v>15</v>
      </c>
      <c r="B16" s="36" t="s">
        <v>136</v>
      </c>
      <c r="C16" s="36" t="s">
        <v>122</v>
      </c>
      <c r="D16" s="36" t="s">
        <v>122</v>
      </c>
      <c r="E16" s="36" t="s">
        <v>122</v>
      </c>
      <c r="F16" s="36" t="s">
        <v>122</v>
      </c>
      <c r="G16" s="36">
        <v>0</v>
      </c>
      <c r="H16" s="36">
        <v>0</v>
      </c>
      <c r="I16" s="36">
        <v>0</v>
      </c>
      <c r="J16" s="41">
        <v>0</v>
      </c>
    </row>
    <row r="17" spans="1:10">
      <c r="A17" s="40">
        <v>16</v>
      </c>
      <c r="B17" s="36" t="s">
        <v>137</v>
      </c>
      <c r="C17" s="36" t="s">
        <v>122</v>
      </c>
      <c r="D17" s="36" t="s">
        <v>122</v>
      </c>
      <c r="E17" s="36" t="s">
        <v>122</v>
      </c>
      <c r="F17" s="36" t="s">
        <v>122</v>
      </c>
      <c r="G17" s="36">
        <v>0</v>
      </c>
      <c r="H17" s="36">
        <v>0</v>
      </c>
      <c r="I17" s="36">
        <v>0</v>
      </c>
      <c r="J17" s="41">
        <v>0</v>
      </c>
    </row>
    <row r="18" spans="1:10">
      <c r="A18" s="40">
        <v>17</v>
      </c>
      <c r="B18" s="36" t="s">
        <v>138</v>
      </c>
      <c r="C18" s="36" t="s">
        <v>122</v>
      </c>
      <c r="D18" s="36" t="s">
        <v>122</v>
      </c>
      <c r="E18" s="36" t="s">
        <v>122</v>
      </c>
      <c r="F18" s="36" t="s">
        <v>122</v>
      </c>
      <c r="G18" s="36">
        <v>0</v>
      </c>
      <c r="H18" s="36">
        <v>0</v>
      </c>
      <c r="I18" s="36">
        <v>0</v>
      </c>
      <c r="J18" s="41">
        <v>0</v>
      </c>
    </row>
    <row r="19" spans="1:10">
      <c r="A19" s="40">
        <v>18</v>
      </c>
      <c r="B19" s="36" t="s">
        <v>139</v>
      </c>
      <c r="C19" s="36" t="s">
        <v>122</v>
      </c>
      <c r="D19" s="36" t="s">
        <v>122</v>
      </c>
      <c r="E19" s="36" t="s">
        <v>122</v>
      </c>
      <c r="F19" s="36" t="s">
        <v>122</v>
      </c>
      <c r="G19" s="36">
        <v>0</v>
      </c>
      <c r="H19" s="36">
        <v>0</v>
      </c>
      <c r="I19" s="36">
        <v>0</v>
      </c>
      <c r="J19" s="41">
        <v>0</v>
      </c>
    </row>
    <row r="20" spans="1:10">
      <c r="A20" s="40">
        <v>19</v>
      </c>
      <c r="B20" s="36" t="s">
        <v>140</v>
      </c>
      <c r="C20" s="36" t="s">
        <v>122</v>
      </c>
      <c r="D20" s="36" t="s">
        <v>122</v>
      </c>
      <c r="E20" s="36" t="s">
        <v>122</v>
      </c>
      <c r="F20" s="36" t="s">
        <v>122</v>
      </c>
      <c r="G20" s="36">
        <v>0</v>
      </c>
      <c r="H20" s="36">
        <v>0</v>
      </c>
      <c r="I20" s="36">
        <v>0</v>
      </c>
      <c r="J20" s="41">
        <v>0</v>
      </c>
    </row>
    <row r="21" spans="1:10">
      <c r="A21" s="42">
        <v>20</v>
      </c>
      <c r="B21" s="43" t="s">
        <v>141</v>
      </c>
      <c r="C21" s="43" t="s">
        <v>122</v>
      </c>
      <c r="D21" s="43" t="s">
        <v>122</v>
      </c>
      <c r="E21" s="43" t="s">
        <v>122</v>
      </c>
      <c r="F21" s="43" t="s">
        <v>122</v>
      </c>
      <c r="G21" s="43">
        <v>0</v>
      </c>
      <c r="H21" s="43">
        <v>0</v>
      </c>
      <c r="I21" s="43">
        <v>0</v>
      </c>
      <c r="J21" s="44">
        <v>0</v>
      </c>
    </row>
  </sheetData>
  <conditionalFormatting sqref="A2:A21">
    <cfRule type="colorScale" priority="1">
      <colorScale>
        <cfvo type="num" val="20"/>
        <cfvo type="percentile" val="50"/>
        <cfvo type="num" val="1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503"/>
  <sheetViews>
    <sheetView workbookViewId="0">
      <selection activeCell="T6" sqref="T6"/>
    </sheetView>
  </sheetViews>
  <sheetFormatPr defaultRowHeight="13.15"/>
  <cols>
    <col min="1" max="1" width="17.28515625" customWidth="1"/>
    <col min="2" max="2" width="8.42578125" customWidth="1"/>
    <col min="3" max="3" width="8.28515625" customWidth="1"/>
    <col min="4" max="4" width="10.7109375" hidden="1" customWidth="1"/>
    <col min="5" max="5" width="5.5703125" customWidth="1"/>
    <col min="6" max="6" width="10.28515625" customWidth="1"/>
    <col min="7" max="7" width="9.85546875" customWidth="1"/>
    <col min="8" max="8" width="7.7109375" customWidth="1"/>
    <col min="9" max="9" width="13.28515625" customWidth="1"/>
    <col min="10" max="10" width="12.85546875" customWidth="1"/>
    <col min="11" max="11" width="6.85546875" customWidth="1"/>
    <col min="12" max="12" width="7.42578125" customWidth="1"/>
    <col min="13" max="13" width="10.140625" customWidth="1"/>
    <col min="14" max="14" width="10.28515625" customWidth="1"/>
    <col min="15" max="15" width="10.7109375" customWidth="1"/>
    <col min="16" max="16" width="13.7109375" customWidth="1"/>
    <col min="17" max="18" width="11.7109375" customWidth="1"/>
    <col min="19" max="19" width="14.5703125" customWidth="1"/>
  </cols>
  <sheetData>
    <row r="1" spans="1:19">
      <c r="A1" s="37" t="s">
        <v>142</v>
      </c>
      <c r="B1" s="37" t="s">
        <v>112</v>
      </c>
      <c r="C1" s="37" t="s">
        <v>143</v>
      </c>
      <c r="D1" s="37" t="s">
        <v>144</v>
      </c>
      <c r="E1" s="37" t="s">
        <v>145</v>
      </c>
      <c r="F1" s="37" t="s">
        <v>146</v>
      </c>
      <c r="G1" s="37" t="s">
        <v>147</v>
      </c>
      <c r="H1" s="37" t="s">
        <v>148</v>
      </c>
      <c r="I1" s="37" t="s">
        <v>149</v>
      </c>
      <c r="J1" s="37" t="s">
        <v>150</v>
      </c>
      <c r="K1" s="37" t="s">
        <v>151</v>
      </c>
      <c r="L1" s="37" t="s">
        <v>152</v>
      </c>
      <c r="M1" s="37" t="s">
        <v>153</v>
      </c>
      <c r="N1" s="37" t="s">
        <v>154</v>
      </c>
      <c r="O1" s="37" t="s">
        <v>155</v>
      </c>
      <c r="P1" s="37" t="s">
        <v>156</v>
      </c>
      <c r="Q1" s="37" t="s">
        <v>157</v>
      </c>
      <c r="R1" s="37" t="s">
        <v>158</v>
      </c>
      <c r="S1" s="37" t="s">
        <v>159</v>
      </c>
    </row>
    <row r="2" spans="1:19">
      <c r="A2" s="1" t="s">
        <v>160</v>
      </c>
      <c r="B2" s="1" t="s">
        <v>23</v>
      </c>
      <c r="C2" s="1" t="s">
        <v>161</v>
      </c>
      <c r="D2" s="1" t="s">
        <v>162</v>
      </c>
      <c r="E2" s="1">
        <v>7</v>
      </c>
      <c r="F2" s="1">
        <v>0</v>
      </c>
      <c r="G2" s="1">
        <v>179</v>
      </c>
      <c r="H2" s="1">
        <v>3</v>
      </c>
      <c r="I2" s="1">
        <v>0</v>
      </c>
      <c r="J2" s="1">
        <v>0</v>
      </c>
      <c r="K2" s="1">
        <v>0</v>
      </c>
      <c r="L2" s="1">
        <v>25.57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</row>
    <row r="3" spans="1:19">
      <c r="A3" s="1" t="s">
        <v>163</v>
      </c>
      <c r="B3" s="1" t="s">
        <v>23</v>
      </c>
      <c r="C3" s="1" t="s">
        <v>161</v>
      </c>
      <c r="D3" s="1" t="s">
        <v>162</v>
      </c>
      <c r="E3" s="1">
        <v>7</v>
      </c>
      <c r="F3" s="1">
        <v>0</v>
      </c>
      <c r="G3" s="1">
        <v>177</v>
      </c>
      <c r="H3" s="1">
        <v>3</v>
      </c>
      <c r="I3" s="1">
        <v>0</v>
      </c>
      <c r="J3" s="1">
        <v>0</v>
      </c>
      <c r="K3" s="1">
        <v>0</v>
      </c>
      <c r="L3" s="1">
        <v>25.29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</row>
    <row r="4" spans="1:19">
      <c r="A4" s="1" t="s">
        <v>164</v>
      </c>
      <c r="B4" s="1" t="s">
        <v>1</v>
      </c>
      <c r="C4" s="1" t="s">
        <v>161</v>
      </c>
      <c r="D4" s="1" t="s">
        <v>162</v>
      </c>
      <c r="E4" s="1">
        <v>5.5</v>
      </c>
      <c r="F4" s="1">
        <v>0</v>
      </c>
      <c r="G4" s="1">
        <v>129</v>
      </c>
      <c r="H4" s="1">
        <v>3</v>
      </c>
      <c r="I4" s="1">
        <v>0</v>
      </c>
      <c r="J4" s="1">
        <v>0</v>
      </c>
      <c r="K4" s="1">
        <v>0</v>
      </c>
      <c r="L4" s="1">
        <v>23.45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>
      <c r="A5" s="1" t="s">
        <v>165</v>
      </c>
      <c r="B5" s="1" t="s">
        <v>12</v>
      </c>
      <c r="C5" s="1" t="s">
        <v>161</v>
      </c>
      <c r="D5" s="1" t="s">
        <v>162</v>
      </c>
      <c r="E5" s="1">
        <v>5.5</v>
      </c>
      <c r="F5" s="1">
        <v>0</v>
      </c>
      <c r="G5" s="1">
        <v>118</v>
      </c>
      <c r="H5" s="1">
        <v>3</v>
      </c>
      <c r="I5" s="1">
        <v>0</v>
      </c>
      <c r="J5" s="1">
        <v>0</v>
      </c>
      <c r="K5" s="1">
        <v>0</v>
      </c>
      <c r="L5" s="1">
        <v>21.45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>
      <c r="A6" s="1" t="s">
        <v>166</v>
      </c>
      <c r="B6" s="1" t="s">
        <v>1</v>
      </c>
      <c r="C6" s="1" t="s">
        <v>167</v>
      </c>
      <c r="D6" s="1" t="s">
        <v>162</v>
      </c>
      <c r="E6" s="1">
        <v>5</v>
      </c>
      <c r="F6" s="1">
        <v>0</v>
      </c>
      <c r="G6" s="1">
        <v>142</v>
      </c>
      <c r="H6" s="1">
        <v>3</v>
      </c>
      <c r="I6" s="1">
        <v>0</v>
      </c>
      <c r="J6" s="1">
        <v>0</v>
      </c>
      <c r="K6" s="1">
        <v>0</v>
      </c>
      <c r="L6" s="1">
        <v>28.4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>
      <c r="A7" s="1" t="s">
        <v>168</v>
      </c>
      <c r="B7" s="1" t="s">
        <v>5</v>
      </c>
      <c r="C7" s="1" t="s">
        <v>169</v>
      </c>
      <c r="D7" s="1" t="s">
        <v>162</v>
      </c>
      <c r="E7" s="1">
        <v>5</v>
      </c>
      <c r="F7" s="1">
        <v>0</v>
      </c>
      <c r="G7" s="1">
        <v>111</v>
      </c>
      <c r="H7" s="1">
        <v>3</v>
      </c>
      <c r="I7" s="1">
        <v>0</v>
      </c>
      <c r="J7" s="1">
        <v>0</v>
      </c>
      <c r="K7" s="1">
        <v>0</v>
      </c>
      <c r="L7" s="1">
        <v>22.2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>
      <c r="A8" s="1" t="s">
        <v>170</v>
      </c>
      <c r="B8" s="1" t="s">
        <v>23</v>
      </c>
      <c r="C8" s="1" t="s">
        <v>169</v>
      </c>
      <c r="D8" s="1" t="s">
        <v>162</v>
      </c>
      <c r="E8" s="1">
        <v>11.5</v>
      </c>
      <c r="F8" s="1">
        <v>0</v>
      </c>
      <c r="G8" s="1">
        <v>233</v>
      </c>
      <c r="H8" s="1">
        <v>3</v>
      </c>
      <c r="I8" s="1">
        <v>0</v>
      </c>
      <c r="J8" s="1">
        <v>0</v>
      </c>
      <c r="K8" s="1">
        <v>0</v>
      </c>
      <c r="L8" s="1">
        <v>20.260000000000002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>
      <c r="A9" s="1" t="s">
        <v>171</v>
      </c>
      <c r="B9" s="1" t="s">
        <v>34</v>
      </c>
      <c r="C9" s="1" t="s">
        <v>161</v>
      </c>
      <c r="D9" s="1" t="s">
        <v>172</v>
      </c>
      <c r="E9" s="1">
        <v>4.5</v>
      </c>
      <c r="F9" s="1">
        <v>0</v>
      </c>
      <c r="G9" s="1">
        <v>90</v>
      </c>
      <c r="H9" s="1">
        <v>3</v>
      </c>
      <c r="I9" s="1">
        <v>0</v>
      </c>
      <c r="J9" s="1">
        <v>0</v>
      </c>
      <c r="K9" s="1">
        <v>0</v>
      </c>
      <c r="L9" s="1">
        <v>20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>
      <c r="A10" s="1" t="s">
        <v>173</v>
      </c>
      <c r="B10" s="1" t="s">
        <v>24</v>
      </c>
      <c r="C10" s="1" t="s">
        <v>161</v>
      </c>
      <c r="D10" s="1" t="s">
        <v>162</v>
      </c>
      <c r="E10" s="1">
        <v>5.5</v>
      </c>
      <c r="F10" s="1">
        <v>0</v>
      </c>
      <c r="G10" s="1">
        <v>139</v>
      </c>
      <c r="H10" s="1">
        <v>3</v>
      </c>
      <c r="I10" s="1">
        <v>0</v>
      </c>
      <c r="J10" s="1">
        <v>0</v>
      </c>
      <c r="K10" s="1">
        <v>0</v>
      </c>
      <c r="L10" s="1">
        <v>25.27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>
      <c r="A11" s="1" t="s">
        <v>174</v>
      </c>
      <c r="B11" s="1" t="s">
        <v>28</v>
      </c>
      <c r="C11" s="1" t="s">
        <v>161</v>
      </c>
      <c r="D11" s="1" t="s">
        <v>172</v>
      </c>
      <c r="E11" s="1">
        <v>5</v>
      </c>
      <c r="F11" s="1">
        <v>0</v>
      </c>
      <c r="G11" s="1">
        <v>118</v>
      </c>
      <c r="H11" s="1">
        <v>3</v>
      </c>
      <c r="I11" s="1">
        <v>0</v>
      </c>
      <c r="J11" s="1">
        <v>0</v>
      </c>
      <c r="K11" s="1">
        <v>0</v>
      </c>
      <c r="L11" s="1">
        <v>23.6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</row>
    <row r="12" spans="1:19">
      <c r="A12" s="1" t="s">
        <v>175</v>
      </c>
      <c r="B12" s="1" t="s">
        <v>8</v>
      </c>
      <c r="C12" s="1" t="s">
        <v>167</v>
      </c>
      <c r="D12" s="1" t="s">
        <v>162</v>
      </c>
      <c r="E12" s="1">
        <v>5.5</v>
      </c>
      <c r="F12" s="1">
        <v>0</v>
      </c>
      <c r="G12" s="1">
        <v>138</v>
      </c>
      <c r="H12" s="1">
        <v>3</v>
      </c>
      <c r="I12" s="1">
        <v>0</v>
      </c>
      <c r="J12" s="1">
        <v>0</v>
      </c>
      <c r="K12" s="1">
        <v>0</v>
      </c>
      <c r="L12" s="1">
        <v>25.09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</row>
    <row r="13" spans="1:19">
      <c r="A13" s="1" t="s">
        <v>176</v>
      </c>
      <c r="B13" s="1" t="s">
        <v>1</v>
      </c>
      <c r="C13" s="1" t="s">
        <v>169</v>
      </c>
      <c r="D13" s="1" t="s">
        <v>162</v>
      </c>
      <c r="E13" s="1">
        <v>6</v>
      </c>
      <c r="F13" s="1">
        <v>0</v>
      </c>
      <c r="G13" s="1">
        <v>160</v>
      </c>
      <c r="H13" s="1">
        <v>3</v>
      </c>
      <c r="I13" s="1">
        <v>0</v>
      </c>
      <c r="J13" s="1">
        <v>0</v>
      </c>
      <c r="K13" s="1">
        <v>0</v>
      </c>
      <c r="L13" s="1">
        <v>26.67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</row>
    <row r="14" spans="1:19">
      <c r="A14" s="1" t="s">
        <v>177</v>
      </c>
      <c r="B14" s="1" t="s">
        <v>28</v>
      </c>
      <c r="C14" s="1" t="s">
        <v>167</v>
      </c>
      <c r="D14" s="1" t="s">
        <v>172</v>
      </c>
      <c r="E14" s="1">
        <v>5</v>
      </c>
      <c r="F14" s="1">
        <v>0</v>
      </c>
      <c r="G14" s="1">
        <v>151</v>
      </c>
      <c r="H14" s="1">
        <v>3</v>
      </c>
      <c r="I14" s="1">
        <v>0</v>
      </c>
      <c r="J14" s="1">
        <v>0</v>
      </c>
      <c r="K14" s="1">
        <v>0</v>
      </c>
      <c r="L14" s="1">
        <v>30.2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</row>
    <row r="15" spans="1:19">
      <c r="A15" s="1" t="s">
        <v>178</v>
      </c>
      <c r="B15" s="1" t="s">
        <v>10</v>
      </c>
      <c r="C15" s="1" t="s">
        <v>161</v>
      </c>
      <c r="D15" s="1" t="s">
        <v>172</v>
      </c>
      <c r="E15" s="1">
        <v>5.5</v>
      </c>
      <c r="F15" s="1">
        <v>0</v>
      </c>
      <c r="G15" s="1">
        <v>142</v>
      </c>
      <c r="H15" s="1">
        <v>3</v>
      </c>
      <c r="I15" s="1">
        <v>0</v>
      </c>
      <c r="J15" s="1">
        <v>0</v>
      </c>
      <c r="K15" s="1">
        <v>0</v>
      </c>
      <c r="L15" s="1">
        <v>25.82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</row>
    <row r="16" spans="1:19">
      <c r="A16" s="1" t="s">
        <v>179</v>
      </c>
      <c r="B16" s="1" t="s">
        <v>26</v>
      </c>
      <c r="C16" s="1" t="s">
        <v>161</v>
      </c>
      <c r="D16" s="1" t="s">
        <v>162</v>
      </c>
      <c r="E16" s="1">
        <v>4.5</v>
      </c>
      <c r="F16" s="1">
        <v>0</v>
      </c>
      <c r="G16" s="1">
        <v>112</v>
      </c>
      <c r="H16" s="1">
        <v>3</v>
      </c>
      <c r="I16" s="1">
        <v>0</v>
      </c>
      <c r="J16" s="1">
        <v>0</v>
      </c>
      <c r="K16" s="1">
        <v>0</v>
      </c>
      <c r="L16" s="1">
        <v>24.89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</row>
    <row r="17" spans="1:19">
      <c r="A17" s="1" t="s">
        <v>180</v>
      </c>
      <c r="B17" s="1" t="s">
        <v>24</v>
      </c>
      <c r="C17" s="1" t="s">
        <v>181</v>
      </c>
      <c r="D17" s="1" t="s">
        <v>162</v>
      </c>
      <c r="E17" s="1">
        <v>8</v>
      </c>
      <c r="F17" s="1">
        <v>0</v>
      </c>
      <c r="G17" s="1">
        <v>149</v>
      </c>
      <c r="H17" s="1">
        <v>3</v>
      </c>
      <c r="I17" s="1">
        <v>0</v>
      </c>
      <c r="J17" s="1">
        <v>0</v>
      </c>
      <c r="K17" s="1">
        <v>0</v>
      </c>
      <c r="L17" s="1">
        <v>18.63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</row>
    <row r="18" spans="1:19">
      <c r="A18" s="1" t="s">
        <v>182</v>
      </c>
      <c r="B18" s="1" t="s">
        <v>15</v>
      </c>
      <c r="C18" s="1" t="s">
        <v>161</v>
      </c>
      <c r="D18" s="1" t="s">
        <v>162</v>
      </c>
      <c r="E18" s="1">
        <v>4.5</v>
      </c>
      <c r="F18" s="1">
        <v>0</v>
      </c>
      <c r="G18" s="1">
        <v>107</v>
      </c>
      <c r="H18" s="1">
        <v>3</v>
      </c>
      <c r="I18" s="1">
        <v>0</v>
      </c>
      <c r="J18" s="1">
        <v>0</v>
      </c>
      <c r="K18" s="1">
        <v>0</v>
      </c>
      <c r="L18" s="1">
        <v>23.78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</row>
    <row r="19" spans="1:19">
      <c r="A19" s="1" t="s">
        <v>183</v>
      </c>
      <c r="B19" s="1" t="s">
        <v>3</v>
      </c>
      <c r="C19" s="1" t="s">
        <v>169</v>
      </c>
      <c r="D19" s="1" t="s">
        <v>162</v>
      </c>
      <c r="E19" s="1">
        <v>7</v>
      </c>
      <c r="F19" s="1">
        <v>0</v>
      </c>
      <c r="G19" s="1">
        <v>162</v>
      </c>
      <c r="H19" s="1">
        <v>3</v>
      </c>
      <c r="I19" s="1">
        <v>0</v>
      </c>
      <c r="J19" s="1">
        <v>0</v>
      </c>
      <c r="K19" s="1">
        <v>0</v>
      </c>
      <c r="L19" s="1">
        <v>23.14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</row>
    <row r="20" spans="1:19">
      <c r="A20" s="1" t="s">
        <v>184</v>
      </c>
      <c r="B20" s="1" t="s">
        <v>20</v>
      </c>
      <c r="C20" s="1" t="s">
        <v>161</v>
      </c>
      <c r="D20" s="1" t="s">
        <v>172</v>
      </c>
      <c r="E20" s="1">
        <v>5</v>
      </c>
      <c r="F20" s="1">
        <v>0</v>
      </c>
      <c r="G20" s="1">
        <v>118</v>
      </c>
      <c r="H20" s="1">
        <v>3</v>
      </c>
      <c r="I20" s="1">
        <v>0</v>
      </c>
      <c r="J20" s="1">
        <v>0</v>
      </c>
      <c r="K20" s="1">
        <v>0</v>
      </c>
      <c r="L20" s="1">
        <v>23.6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</row>
    <row r="21" spans="1:19">
      <c r="A21" s="1" t="s">
        <v>185</v>
      </c>
      <c r="B21" s="1" t="s">
        <v>17</v>
      </c>
      <c r="C21" s="1" t="s">
        <v>167</v>
      </c>
      <c r="D21" s="1" t="s">
        <v>162</v>
      </c>
      <c r="E21" s="1">
        <v>5.5</v>
      </c>
      <c r="F21" s="1">
        <v>0</v>
      </c>
      <c r="G21" s="1">
        <v>142</v>
      </c>
      <c r="H21" s="1">
        <v>3</v>
      </c>
      <c r="I21" s="1">
        <v>0</v>
      </c>
      <c r="J21" s="1">
        <v>0</v>
      </c>
      <c r="K21" s="1">
        <v>0</v>
      </c>
      <c r="L21" s="1">
        <v>25.82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</row>
    <row r="22" spans="1:19">
      <c r="A22" s="1" t="s">
        <v>186</v>
      </c>
      <c r="B22" s="1" t="s">
        <v>3</v>
      </c>
      <c r="C22" s="1" t="s">
        <v>167</v>
      </c>
      <c r="D22" s="1" t="s">
        <v>162</v>
      </c>
      <c r="E22" s="1">
        <v>5</v>
      </c>
      <c r="F22" s="1">
        <v>0</v>
      </c>
      <c r="G22" s="1">
        <v>149</v>
      </c>
      <c r="H22" s="1">
        <v>3</v>
      </c>
      <c r="I22" s="1">
        <v>0</v>
      </c>
      <c r="J22" s="1">
        <v>0</v>
      </c>
      <c r="K22" s="1">
        <v>0</v>
      </c>
      <c r="L22" s="1">
        <v>29.8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</row>
    <row r="23" spans="1:19">
      <c r="A23" s="1" t="s">
        <v>187</v>
      </c>
      <c r="B23" s="1" t="s">
        <v>34</v>
      </c>
      <c r="C23" s="1" t="s">
        <v>167</v>
      </c>
      <c r="D23" s="1" t="s">
        <v>172</v>
      </c>
      <c r="E23" s="1">
        <v>4.5</v>
      </c>
      <c r="F23" s="1">
        <v>0</v>
      </c>
      <c r="G23" s="1">
        <v>115</v>
      </c>
      <c r="H23" s="1">
        <v>3</v>
      </c>
      <c r="I23" s="1">
        <v>0</v>
      </c>
      <c r="J23" s="1">
        <v>0</v>
      </c>
      <c r="K23" s="1">
        <v>0</v>
      </c>
      <c r="L23" s="1">
        <v>25.56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</row>
    <row r="24" spans="1:19">
      <c r="A24" s="1" t="s">
        <v>188</v>
      </c>
      <c r="B24" s="1" t="s">
        <v>0</v>
      </c>
      <c r="C24" s="1" t="s">
        <v>161</v>
      </c>
      <c r="D24" s="1" t="s">
        <v>189</v>
      </c>
      <c r="E24" s="1">
        <v>5.5</v>
      </c>
      <c r="F24" s="1">
        <v>0</v>
      </c>
      <c r="G24" s="1">
        <v>121</v>
      </c>
      <c r="H24" s="1">
        <v>3</v>
      </c>
      <c r="I24" s="1">
        <v>0</v>
      </c>
      <c r="J24" s="1">
        <v>0</v>
      </c>
      <c r="K24" s="1">
        <v>0</v>
      </c>
      <c r="L24" s="1">
        <v>22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</row>
    <row r="25" spans="1:19">
      <c r="A25" s="1" t="s">
        <v>190</v>
      </c>
      <c r="B25" s="1" t="s">
        <v>23</v>
      </c>
      <c r="C25" s="1" t="s">
        <v>167</v>
      </c>
      <c r="D25" s="1" t="s">
        <v>162</v>
      </c>
      <c r="E25" s="1">
        <v>5</v>
      </c>
      <c r="F25" s="1">
        <v>0</v>
      </c>
      <c r="G25" s="1">
        <v>106</v>
      </c>
      <c r="H25" s="1">
        <v>3</v>
      </c>
      <c r="I25" s="1">
        <v>0</v>
      </c>
      <c r="J25" s="1">
        <v>0</v>
      </c>
      <c r="K25" s="1">
        <v>0</v>
      </c>
      <c r="L25" s="1">
        <v>21.2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</row>
    <row r="26" spans="1:19">
      <c r="A26" s="1" t="s">
        <v>191</v>
      </c>
      <c r="B26" s="1" t="s">
        <v>3</v>
      </c>
      <c r="C26" s="1" t="s">
        <v>161</v>
      </c>
      <c r="D26" s="1" t="s">
        <v>162</v>
      </c>
      <c r="E26" s="1">
        <v>5.5</v>
      </c>
      <c r="F26" s="1">
        <v>0</v>
      </c>
      <c r="G26" s="1">
        <v>142</v>
      </c>
      <c r="H26" s="1">
        <v>3</v>
      </c>
      <c r="I26" s="1">
        <v>0</v>
      </c>
      <c r="J26" s="1">
        <v>0</v>
      </c>
      <c r="K26" s="1">
        <v>0</v>
      </c>
      <c r="L26" s="1">
        <v>25.82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</row>
    <row r="27" spans="1:19">
      <c r="A27" s="1" t="s">
        <v>192</v>
      </c>
      <c r="B27" s="1" t="s">
        <v>12</v>
      </c>
      <c r="C27" s="1" t="s">
        <v>169</v>
      </c>
      <c r="D27" s="1" t="s">
        <v>162</v>
      </c>
      <c r="E27" s="1">
        <v>8.5</v>
      </c>
      <c r="F27" s="1">
        <v>0</v>
      </c>
      <c r="G27" s="1">
        <v>162</v>
      </c>
      <c r="H27" s="1">
        <v>3</v>
      </c>
      <c r="I27" s="1">
        <v>0</v>
      </c>
      <c r="J27" s="1">
        <v>0</v>
      </c>
      <c r="K27" s="1">
        <v>0</v>
      </c>
      <c r="L27" s="1">
        <v>19.059999999999999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</row>
    <row r="28" spans="1:19">
      <c r="A28" s="1" t="s">
        <v>193</v>
      </c>
      <c r="B28" s="1" t="s">
        <v>20</v>
      </c>
      <c r="C28" s="1" t="s">
        <v>169</v>
      </c>
      <c r="D28" s="1" t="s">
        <v>172</v>
      </c>
      <c r="E28" s="1">
        <v>5.5</v>
      </c>
      <c r="F28" s="1">
        <v>0</v>
      </c>
      <c r="G28" s="1">
        <v>114</v>
      </c>
      <c r="H28" s="1">
        <v>3</v>
      </c>
      <c r="I28" s="1">
        <v>0</v>
      </c>
      <c r="J28" s="1">
        <v>0</v>
      </c>
      <c r="K28" s="1">
        <v>0</v>
      </c>
      <c r="L28" s="1">
        <v>20.73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</row>
    <row r="29" spans="1:19">
      <c r="A29" s="1" t="s">
        <v>194</v>
      </c>
      <c r="B29" s="1" t="s">
        <v>23</v>
      </c>
      <c r="C29" s="1" t="s">
        <v>169</v>
      </c>
      <c r="D29" s="1" t="s">
        <v>162</v>
      </c>
      <c r="E29" s="1">
        <v>5</v>
      </c>
      <c r="F29" s="1">
        <v>0</v>
      </c>
      <c r="G29" s="1">
        <v>90</v>
      </c>
      <c r="H29" s="1">
        <v>3</v>
      </c>
      <c r="I29" s="1">
        <v>0</v>
      </c>
      <c r="J29" s="1">
        <v>0</v>
      </c>
      <c r="K29" s="1">
        <v>0</v>
      </c>
      <c r="L29" s="1">
        <v>18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</row>
    <row r="30" spans="1:19">
      <c r="A30" s="1" t="s">
        <v>195</v>
      </c>
      <c r="B30" s="1" t="s">
        <v>10</v>
      </c>
      <c r="C30" s="1" t="s">
        <v>161</v>
      </c>
      <c r="D30" s="1" t="s">
        <v>172</v>
      </c>
      <c r="E30" s="1">
        <v>6</v>
      </c>
      <c r="F30" s="1">
        <v>0</v>
      </c>
      <c r="G30" s="1">
        <v>130</v>
      </c>
      <c r="H30" s="1">
        <v>3</v>
      </c>
      <c r="I30" s="1">
        <v>0</v>
      </c>
      <c r="J30" s="1">
        <v>0</v>
      </c>
      <c r="K30" s="1">
        <v>0</v>
      </c>
      <c r="L30" s="1">
        <v>21.67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</row>
    <row r="31" spans="1:19">
      <c r="A31" s="1" t="s">
        <v>196</v>
      </c>
      <c r="B31" s="1" t="s">
        <v>12</v>
      </c>
      <c r="C31" s="1" t="s">
        <v>167</v>
      </c>
      <c r="D31" s="1" t="s">
        <v>162</v>
      </c>
      <c r="E31" s="1">
        <v>5</v>
      </c>
      <c r="F31" s="1">
        <v>0</v>
      </c>
      <c r="G31" s="1">
        <v>121</v>
      </c>
      <c r="H31" s="1">
        <v>3</v>
      </c>
      <c r="I31" s="1">
        <v>0</v>
      </c>
      <c r="J31" s="1">
        <v>0</v>
      </c>
      <c r="K31" s="1">
        <v>0</v>
      </c>
      <c r="L31" s="1">
        <v>24.2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</row>
    <row r="32" spans="1:19">
      <c r="A32" s="1" t="s">
        <v>197</v>
      </c>
      <c r="B32" s="1" t="s">
        <v>38</v>
      </c>
      <c r="C32" s="1" t="s">
        <v>167</v>
      </c>
      <c r="D32" s="1" t="s">
        <v>172</v>
      </c>
      <c r="E32" s="1">
        <v>4.5</v>
      </c>
      <c r="F32" s="1">
        <v>0</v>
      </c>
      <c r="G32" s="1">
        <v>112</v>
      </c>
      <c r="H32" s="1">
        <v>3</v>
      </c>
      <c r="I32" s="1">
        <v>0</v>
      </c>
      <c r="J32" s="1">
        <v>0</v>
      </c>
      <c r="K32" s="1">
        <v>0</v>
      </c>
      <c r="L32" s="1">
        <v>24.89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</row>
    <row r="33" spans="1:19">
      <c r="A33" s="1" t="s">
        <v>198</v>
      </c>
      <c r="B33" s="1" t="s">
        <v>30</v>
      </c>
      <c r="C33" s="1" t="s">
        <v>161</v>
      </c>
      <c r="D33" s="1" t="s">
        <v>172</v>
      </c>
      <c r="E33" s="1">
        <v>5</v>
      </c>
      <c r="F33" s="1">
        <v>0</v>
      </c>
      <c r="G33" s="1">
        <v>127</v>
      </c>
      <c r="H33" s="1">
        <v>3</v>
      </c>
      <c r="I33" s="1">
        <v>0</v>
      </c>
      <c r="J33" s="1">
        <v>0</v>
      </c>
      <c r="K33" s="1">
        <v>0</v>
      </c>
      <c r="L33" s="1">
        <v>25.4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</row>
    <row r="34" spans="1:19">
      <c r="A34" s="1" t="s">
        <v>199</v>
      </c>
      <c r="B34" s="1" t="s">
        <v>24</v>
      </c>
      <c r="C34" s="1" t="s">
        <v>161</v>
      </c>
      <c r="D34" s="1" t="s">
        <v>162</v>
      </c>
      <c r="E34" s="1">
        <v>5.5</v>
      </c>
      <c r="F34" s="1">
        <v>0</v>
      </c>
      <c r="G34" s="1">
        <v>140</v>
      </c>
      <c r="H34" s="1">
        <v>3</v>
      </c>
      <c r="I34" s="1">
        <v>0</v>
      </c>
      <c r="J34" s="1">
        <v>0</v>
      </c>
      <c r="K34" s="1">
        <v>0</v>
      </c>
      <c r="L34" s="1">
        <v>25.45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</row>
    <row r="35" spans="1:19">
      <c r="A35" s="1" t="s">
        <v>200</v>
      </c>
      <c r="B35" s="1" t="s">
        <v>15</v>
      </c>
      <c r="C35" s="1" t="s">
        <v>169</v>
      </c>
      <c r="D35" s="1" t="s">
        <v>162</v>
      </c>
      <c r="E35" s="1">
        <v>5.5</v>
      </c>
      <c r="F35" s="1">
        <v>0</v>
      </c>
      <c r="G35" s="1">
        <v>105</v>
      </c>
      <c r="H35" s="1">
        <v>3</v>
      </c>
      <c r="I35" s="1">
        <v>0</v>
      </c>
      <c r="J35" s="1">
        <v>0</v>
      </c>
      <c r="K35" s="1">
        <v>0</v>
      </c>
      <c r="L35" s="1">
        <v>19.09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</row>
    <row r="36" spans="1:19">
      <c r="A36" s="1" t="s">
        <v>201</v>
      </c>
      <c r="B36" s="1" t="s">
        <v>3</v>
      </c>
      <c r="C36" s="1" t="s">
        <v>169</v>
      </c>
      <c r="D36" s="1" t="s">
        <v>162</v>
      </c>
      <c r="E36" s="1">
        <v>9</v>
      </c>
      <c r="F36" s="1">
        <v>0</v>
      </c>
      <c r="G36" s="1">
        <v>158</v>
      </c>
      <c r="H36" s="1">
        <v>3</v>
      </c>
      <c r="I36" s="1">
        <v>0</v>
      </c>
      <c r="J36" s="1">
        <v>0</v>
      </c>
      <c r="K36" s="1">
        <v>0</v>
      </c>
      <c r="L36" s="1">
        <v>17.559999999999999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</row>
    <row r="37" spans="1:19">
      <c r="A37" s="1" t="s">
        <v>202</v>
      </c>
      <c r="B37" s="1" t="s">
        <v>20</v>
      </c>
      <c r="C37" s="1" t="s">
        <v>169</v>
      </c>
      <c r="D37" s="1" t="s">
        <v>172</v>
      </c>
      <c r="E37" s="1">
        <v>6</v>
      </c>
      <c r="F37" s="1">
        <v>0</v>
      </c>
      <c r="G37" s="1">
        <v>103</v>
      </c>
      <c r="H37" s="1">
        <v>3</v>
      </c>
      <c r="I37" s="1">
        <v>0</v>
      </c>
      <c r="J37" s="1">
        <v>0</v>
      </c>
      <c r="K37" s="1">
        <v>0</v>
      </c>
      <c r="L37" s="1">
        <v>17.170000000000002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</row>
    <row r="38" spans="1:19">
      <c r="A38" s="1" t="s">
        <v>203</v>
      </c>
      <c r="B38" s="1" t="s">
        <v>3</v>
      </c>
      <c r="C38" s="1" t="s">
        <v>181</v>
      </c>
      <c r="D38" s="1" t="s">
        <v>162</v>
      </c>
      <c r="E38" s="1">
        <v>7.5</v>
      </c>
      <c r="F38" s="1">
        <v>0</v>
      </c>
      <c r="G38" s="1">
        <v>139</v>
      </c>
      <c r="H38" s="1">
        <v>3</v>
      </c>
      <c r="I38" s="1">
        <v>0</v>
      </c>
      <c r="J38" s="1">
        <v>0</v>
      </c>
      <c r="K38" s="1">
        <v>0</v>
      </c>
      <c r="L38" s="1">
        <v>18.53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</row>
    <row r="39" spans="1:19">
      <c r="A39" s="1" t="s">
        <v>204</v>
      </c>
      <c r="B39" s="1" t="s">
        <v>28</v>
      </c>
      <c r="C39" s="1" t="s">
        <v>161</v>
      </c>
      <c r="D39" s="1" t="s">
        <v>172</v>
      </c>
      <c r="E39" s="1">
        <v>5</v>
      </c>
      <c r="F39" s="1">
        <v>0</v>
      </c>
      <c r="G39" s="1">
        <v>109</v>
      </c>
      <c r="H39" s="1">
        <v>2</v>
      </c>
      <c r="I39" s="1">
        <v>0</v>
      </c>
      <c r="J39" s="1">
        <v>0</v>
      </c>
      <c r="K39" s="1">
        <v>0</v>
      </c>
      <c r="L39" s="1">
        <v>21.8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</row>
    <row r="40" spans="1:19">
      <c r="A40" s="1" t="s">
        <v>205</v>
      </c>
      <c r="B40" s="1" t="s">
        <v>0</v>
      </c>
      <c r="C40" s="1" t="s">
        <v>169</v>
      </c>
      <c r="D40" s="1" t="s">
        <v>189</v>
      </c>
      <c r="E40" s="1">
        <v>8.5</v>
      </c>
      <c r="F40" s="1">
        <v>0</v>
      </c>
      <c r="G40" s="1">
        <v>168</v>
      </c>
      <c r="H40" s="1">
        <v>2</v>
      </c>
      <c r="I40" s="1">
        <v>0</v>
      </c>
      <c r="J40" s="1">
        <v>0</v>
      </c>
      <c r="K40" s="1">
        <v>0</v>
      </c>
      <c r="L40" s="1">
        <v>19.760000000000002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</row>
    <row r="41" spans="1:19">
      <c r="A41" s="1" t="s">
        <v>206</v>
      </c>
      <c r="B41" s="1" t="s">
        <v>23</v>
      </c>
      <c r="C41" s="1" t="s">
        <v>161</v>
      </c>
      <c r="D41" s="1" t="s">
        <v>162</v>
      </c>
      <c r="E41" s="1">
        <v>6.5</v>
      </c>
      <c r="F41" s="1">
        <v>0</v>
      </c>
      <c r="G41" s="1">
        <v>130</v>
      </c>
      <c r="H41" s="1">
        <v>2</v>
      </c>
      <c r="I41" s="1">
        <v>0</v>
      </c>
      <c r="J41" s="1">
        <v>0</v>
      </c>
      <c r="K41" s="1">
        <v>0</v>
      </c>
      <c r="L41" s="1">
        <v>20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</row>
    <row r="42" spans="1:19">
      <c r="A42" s="1" t="s">
        <v>207</v>
      </c>
      <c r="B42" s="1" t="s">
        <v>3</v>
      </c>
      <c r="C42" s="1" t="s">
        <v>161</v>
      </c>
      <c r="D42" s="1" t="s">
        <v>162</v>
      </c>
      <c r="E42" s="1">
        <v>5.5</v>
      </c>
      <c r="F42" s="1">
        <v>0</v>
      </c>
      <c r="G42" s="1">
        <v>124</v>
      </c>
      <c r="H42" s="1">
        <v>2</v>
      </c>
      <c r="I42" s="1">
        <v>0</v>
      </c>
      <c r="J42" s="1">
        <v>0</v>
      </c>
      <c r="K42" s="1">
        <v>0</v>
      </c>
      <c r="L42" s="1">
        <v>22.55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</row>
    <row r="43" spans="1:19">
      <c r="A43" s="1" t="s">
        <v>208</v>
      </c>
      <c r="B43" s="1" t="s">
        <v>0</v>
      </c>
      <c r="C43" s="1" t="s">
        <v>169</v>
      </c>
      <c r="D43" s="1" t="s">
        <v>189</v>
      </c>
      <c r="E43" s="1">
        <v>11</v>
      </c>
      <c r="F43" s="1">
        <v>0</v>
      </c>
      <c r="G43" s="1">
        <v>207</v>
      </c>
      <c r="H43" s="1">
        <v>2</v>
      </c>
      <c r="I43" s="1">
        <v>0</v>
      </c>
      <c r="J43" s="1">
        <v>0</v>
      </c>
      <c r="K43" s="1">
        <v>0</v>
      </c>
      <c r="L43" s="1">
        <v>18.82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</row>
    <row r="44" spans="1:19">
      <c r="A44" s="1" t="s">
        <v>209</v>
      </c>
      <c r="B44" s="1" t="s">
        <v>30</v>
      </c>
      <c r="C44" s="1" t="s">
        <v>181</v>
      </c>
      <c r="D44" s="1" t="s">
        <v>172</v>
      </c>
      <c r="E44" s="1">
        <v>6.5</v>
      </c>
      <c r="F44" s="1">
        <v>0</v>
      </c>
      <c r="G44" s="1">
        <v>148</v>
      </c>
      <c r="H44" s="1">
        <v>2</v>
      </c>
      <c r="I44" s="1">
        <v>0</v>
      </c>
      <c r="J44" s="1">
        <v>0</v>
      </c>
      <c r="K44" s="1">
        <v>0</v>
      </c>
      <c r="L44" s="1">
        <v>22.77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</row>
    <row r="45" spans="1:19">
      <c r="A45" s="1" t="s">
        <v>210</v>
      </c>
      <c r="B45" s="1" t="s">
        <v>34</v>
      </c>
      <c r="C45" s="1" t="s">
        <v>161</v>
      </c>
      <c r="D45" s="1" t="s">
        <v>172</v>
      </c>
      <c r="E45" s="1">
        <v>5</v>
      </c>
      <c r="F45" s="1">
        <v>0</v>
      </c>
      <c r="G45" s="1">
        <v>105</v>
      </c>
      <c r="H45" s="1">
        <v>2</v>
      </c>
      <c r="I45" s="1">
        <v>0</v>
      </c>
      <c r="J45" s="1">
        <v>0</v>
      </c>
      <c r="K45" s="1">
        <v>0</v>
      </c>
      <c r="L45" s="1">
        <v>21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</row>
    <row r="46" spans="1:19">
      <c r="A46" s="1" t="s">
        <v>211</v>
      </c>
      <c r="B46" s="1" t="s">
        <v>30</v>
      </c>
      <c r="C46" s="1" t="s">
        <v>169</v>
      </c>
      <c r="D46" s="1" t="s">
        <v>172</v>
      </c>
      <c r="E46" s="1">
        <v>5.5</v>
      </c>
      <c r="F46" s="1">
        <v>0</v>
      </c>
      <c r="G46" s="1">
        <v>128</v>
      </c>
      <c r="H46" s="1">
        <v>2</v>
      </c>
      <c r="I46" s="1">
        <v>0</v>
      </c>
      <c r="J46" s="1">
        <v>0</v>
      </c>
      <c r="K46" s="1">
        <v>0</v>
      </c>
      <c r="L46" s="1">
        <v>23.27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</row>
    <row r="47" spans="1:19">
      <c r="A47" s="1" t="s">
        <v>212</v>
      </c>
      <c r="B47" s="1" t="s">
        <v>23</v>
      </c>
      <c r="C47" s="1" t="s">
        <v>169</v>
      </c>
      <c r="D47" s="1" t="s">
        <v>162</v>
      </c>
      <c r="E47" s="1">
        <v>9</v>
      </c>
      <c r="F47" s="1">
        <v>0</v>
      </c>
      <c r="G47" s="1">
        <v>165</v>
      </c>
      <c r="H47" s="1">
        <v>2</v>
      </c>
      <c r="I47" s="1">
        <v>0</v>
      </c>
      <c r="J47" s="1">
        <v>0</v>
      </c>
      <c r="K47" s="1">
        <v>0</v>
      </c>
      <c r="L47" s="1">
        <v>18.329999999999998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</row>
    <row r="48" spans="1:19">
      <c r="A48" s="1" t="s">
        <v>213</v>
      </c>
      <c r="B48" s="1" t="s">
        <v>10</v>
      </c>
      <c r="C48" s="1" t="s">
        <v>181</v>
      </c>
      <c r="D48" s="1" t="s">
        <v>172</v>
      </c>
      <c r="E48" s="1">
        <v>8</v>
      </c>
      <c r="F48" s="1">
        <v>0</v>
      </c>
      <c r="G48" s="1">
        <v>135</v>
      </c>
      <c r="H48" s="1">
        <v>2</v>
      </c>
      <c r="I48" s="1">
        <v>0</v>
      </c>
      <c r="J48" s="1">
        <v>0</v>
      </c>
      <c r="K48" s="1">
        <v>0</v>
      </c>
      <c r="L48" s="1">
        <v>16.88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</row>
    <row r="49" spans="1:19">
      <c r="A49" s="1" t="s">
        <v>214</v>
      </c>
      <c r="B49" s="1" t="s">
        <v>8</v>
      </c>
      <c r="C49" s="1" t="s">
        <v>181</v>
      </c>
      <c r="D49" s="1" t="s">
        <v>162</v>
      </c>
      <c r="E49" s="1">
        <v>10.5</v>
      </c>
      <c r="F49" s="1">
        <v>0</v>
      </c>
      <c r="G49" s="1">
        <v>132</v>
      </c>
      <c r="H49" s="1">
        <v>2</v>
      </c>
      <c r="I49" s="1">
        <v>0</v>
      </c>
      <c r="J49" s="1">
        <v>0</v>
      </c>
      <c r="K49" s="1">
        <v>0</v>
      </c>
      <c r="L49" s="1">
        <v>12.57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</row>
    <row r="50" spans="1:19">
      <c r="A50" s="1" t="s">
        <v>215</v>
      </c>
      <c r="B50" s="1" t="s">
        <v>10</v>
      </c>
      <c r="C50" s="1" t="s">
        <v>167</v>
      </c>
      <c r="D50" s="1" t="s">
        <v>172</v>
      </c>
      <c r="E50" s="1">
        <v>5</v>
      </c>
      <c r="F50" s="1">
        <v>0</v>
      </c>
      <c r="G50" s="1">
        <v>84</v>
      </c>
      <c r="H50" s="1">
        <v>2</v>
      </c>
      <c r="I50" s="1">
        <v>0</v>
      </c>
      <c r="J50" s="1">
        <v>0</v>
      </c>
      <c r="K50" s="1">
        <v>0</v>
      </c>
      <c r="L50" s="1">
        <v>16.8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</row>
    <row r="51" spans="1:19">
      <c r="A51" s="1" t="s">
        <v>216</v>
      </c>
      <c r="B51" s="1" t="s">
        <v>20</v>
      </c>
      <c r="C51" s="1" t="s">
        <v>161</v>
      </c>
      <c r="D51" s="1" t="s">
        <v>172</v>
      </c>
      <c r="E51" s="1">
        <v>4.5</v>
      </c>
      <c r="F51" s="1">
        <v>0</v>
      </c>
      <c r="G51" s="1">
        <v>80</v>
      </c>
      <c r="H51" s="1">
        <v>2</v>
      </c>
      <c r="I51" s="1">
        <v>0</v>
      </c>
      <c r="J51" s="1">
        <v>0</v>
      </c>
      <c r="K51" s="1">
        <v>0</v>
      </c>
      <c r="L51" s="1">
        <v>17.78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</row>
    <row r="52" spans="1:19">
      <c r="A52" s="1" t="s">
        <v>217</v>
      </c>
      <c r="B52" s="1" t="s">
        <v>5</v>
      </c>
      <c r="C52" s="1" t="s">
        <v>161</v>
      </c>
      <c r="D52" s="1" t="s">
        <v>162</v>
      </c>
      <c r="E52" s="1">
        <v>5</v>
      </c>
      <c r="F52" s="1">
        <v>0</v>
      </c>
      <c r="G52" s="1">
        <v>92</v>
      </c>
      <c r="H52" s="1">
        <v>2</v>
      </c>
      <c r="I52" s="1">
        <v>0</v>
      </c>
      <c r="J52" s="1">
        <v>0</v>
      </c>
      <c r="K52" s="1">
        <v>0</v>
      </c>
      <c r="L52" s="1">
        <v>18.399999999999999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</row>
    <row r="53" spans="1:19">
      <c r="A53" s="1" t="s">
        <v>218</v>
      </c>
      <c r="B53" s="1" t="s">
        <v>34</v>
      </c>
      <c r="C53" s="1" t="s">
        <v>169</v>
      </c>
      <c r="D53" s="1" t="s">
        <v>172</v>
      </c>
      <c r="E53" s="1">
        <v>6</v>
      </c>
      <c r="F53" s="1">
        <v>0</v>
      </c>
      <c r="G53" s="1">
        <v>128</v>
      </c>
      <c r="H53" s="1">
        <v>2</v>
      </c>
      <c r="I53" s="1">
        <v>0</v>
      </c>
      <c r="J53" s="1">
        <v>0</v>
      </c>
      <c r="K53" s="1">
        <v>0</v>
      </c>
      <c r="L53" s="1">
        <v>21.33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</row>
    <row r="54" spans="1:19">
      <c r="A54" s="1" t="s">
        <v>219</v>
      </c>
      <c r="B54" s="1" t="s">
        <v>10</v>
      </c>
      <c r="C54" s="1" t="s">
        <v>169</v>
      </c>
      <c r="D54" s="1" t="s">
        <v>172</v>
      </c>
      <c r="E54" s="1">
        <v>4.5</v>
      </c>
      <c r="F54" s="1">
        <v>0</v>
      </c>
      <c r="G54" s="1">
        <v>66</v>
      </c>
      <c r="H54" s="1">
        <v>2</v>
      </c>
      <c r="I54" s="1">
        <v>0</v>
      </c>
      <c r="J54" s="1">
        <v>0</v>
      </c>
      <c r="K54" s="1">
        <v>0</v>
      </c>
      <c r="L54" s="1">
        <v>14.67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</row>
    <row r="55" spans="1:19">
      <c r="A55" s="1" t="s">
        <v>220</v>
      </c>
      <c r="B55" s="1" t="s">
        <v>23</v>
      </c>
      <c r="C55" s="1" t="s">
        <v>167</v>
      </c>
      <c r="D55" s="1" t="s">
        <v>162</v>
      </c>
      <c r="E55" s="1">
        <v>5.5</v>
      </c>
      <c r="F55" s="1">
        <v>0</v>
      </c>
      <c r="G55" s="1">
        <v>121</v>
      </c>
      <c r="H55" s="1">
        <v>2</v>
      </c>
      <c r="I55" s="1">
        <v>0</v>
      </c>
      <c r="J55" s="1">
        <v>0</v>
      </c>
      <c r="K55" s="1">
        <v>0</v>
      </c>
      <c r="L55" s="1">
        <v>22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</row>
    <row r="56" spans="1:19">
      <c r="A56" s="1" t="s">
        <v>221</v>
      </c>
      <c r="B56" s="1" t="s">
        <v>12</v>
      </c>
      <c r="C56" s="1" t="s">
        <v>161</v>
      </c>
      <c r="D56" s="1" t="s">
        <v>162</v>
      </c>
      <c r="E56" s="1">
        <v>5.5</v>
      </c>
      <c r="F56" s="1">
        <v>0</v>
      </c>
      <c r="G56" s="1">
        <v>90</v>
      </c>
      <c r="H56" s="1">
        <v>2</v>
      </c>
      <c r="I56" s="1">
        <v>0</v>
      </c>
      <c r="J56" s="1">
        <v>0</v>
      </c>
      <c r="K56" s="1">
        <v>0</v>
      </c>
      <c r="L56" s="1">
        <v>16.36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</row>
    <row r="57" spans="1:19">
      <c r="A57" s="1" t="s">
        <v>222</v>
      </c>
      <c r="B57" s="1" t="s">
        <v>3</v>
      </c>
      <c r="C57" s="1" t="s">
        <v>169</v>
      </c>
      <c r="D57" s="1" t="s">
        <v>162</v>
      </c>
      <c r="E57" s="1">
        <v>8</v>
      </c>
      <c r="F57" s="1">
        <v>0</v>
      </c>
      <c r="G57" s="1">
        <v>134</v>
      </c>
      <c r="H57" s="1">
        <v>2</v>
      </c>
      <c r="I57" s="1">
        <v>0</v>
      </c>
      <c r="J57" s="1">
        <v>0</v>
      </c>
      <c r="K57" s="1">
        <v>0</v>
      </c>
      <c r="L57" s="1">
        <v>16.75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</row>
    <row r="58" spans="1:19">
      <c r="A58" s="1" t="s">
        <v>223</v>
      </c>
      <c r="B58" s="1" t="s">
        <v>10</v>
      </c>
      <c r="C58" s="1" t="s">
        <v>161</v>
      </c>
      <c r="D58" s="1" t="s">
        <v>172</v>
      </c>
      <c r="E58" s="1">
        <v>6.5</v>
      </c>
      <c r="F58" s="1">
        <v>0</v>
      </c>
      <c r="G58" s="1">
        <v>139</v>
      </c>
      <c r="H58" s="1">
        <v>2</v>
      </c>
      <c r="I58" s="1">
        <v>0</v>
      </c>
      <c r="J58" s="1">
        <v>0</v>
      </c>
      <c r="K58" s="1">
        <v>0</v>
      </c>
      <c r="L58" s="1">
        <v>21.38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</row>
    <row r="59" spans="1:19">
      <c r="A59" s="1" t="s">
        <v>224</v>
      </c>
      <c r="B59" s="1" t="s">
        <v>34</v>
      </c>
      <c r="C59" s="1" t="s">
        <v>169</v>
      </c>
      <c r="D59" s="1" t="s">
        <v>172</v>
      </c>
      <c r="E59" s="1">
        <v>6.5</v>
      </c>
      <c r="F59" s="1">
        <v>0</v>
      </c>
      <c r="G59" s="1">
        <v>132</v>
      </c>
      <c r="H59" s="1">
        <v>2</v>
      </c>
      <c r="I59" s="1">
        <v>0</v>
      </c>
      <c r="J59" s="1">
        <v>0</v>
      </c>
      <c r="K59" s="1">
        <v>0</v>
      </c>
      <c r="L59" s="1">
        <v>20.309999999999999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</row>
    <row r="60" spans="1:19">
      <c r="A60" s="1" t="s">
        <v>225</v>
      </c>
      <c r="B60" s="1" t="s">
        <v>15</v>
      </c>
      <c r="C60" s="1" t="s">
        <v>181</v>
      </c>
      <c r="D60" s="1" t="s">
        <v>162</v>
      </c>
      <c r="E60" s="1">
        <v>6</v>
      </c>
      <c r="F60" s="1">
        <v>0</v>
      </c>
      <c r="G60" s="1">
        <v>85</v>
      </c>
      <c r="H60" s="1">
        <v>2</v>
      </c>
      <c r="I60" s="1">
        <v>0</v>
      </c>
      <c r="J60" s="1">
        <v>0</v>
      </c>
      <c r="K60" s="1">
        <v>0</v>
      </c>
      <c r="L60" s="1">
        <v>14.17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</row>
    <row r="61" spans="1:19">
      <c r="A61" s="1" t="s">
        <v>226</v>
      </c>
      <c r="B61" s="1" t="s">
        <v>20</v>
      </c>
      <c r="C61" s="1" t="s">
        <v>167</v>
      </c>
      <c r="D61" s="1" t="s">
        <v>172</v>
      </c>
      <c r="E61" s="1">
        <v>4.5</v>
      </c>
      <c r="F61" s="1">
        <v>0</v>
      </c>
      <c r="G61" s="1">
        <v>99</v>
      </c>
      <c r="H61" s="1">
        <v>2</v>
      </c>
      <c r="I61" s="1">
        <v>0</v>
      </c>
      <c r="J61" s="1">
        <v>0</v>
      </c>
      <c r="K61" s="1">
        <v>0</v>
      </c>
      <c r="L61" s="1">
        <v>22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</row>
    <row r="62" spans="1:19">
      <c r="A62" s="1" t="s">
        <v>227</v>
      </c>
      <c r="B62" s="1" t="s">
        <v>38</v>
      </c>
      <c r="C62" s="1" t="s">
        <v>181</v>
      </c>
      <c r="D62" s="1" t="s">
        <v>172</v>
      </c>
      <c r="E62" s="1">
        <v>5</v>
      </c>
      <c r="F62" s="1">
        <v>0</v>
      </c>
      <c r="G62" s="1">
        <v>93</v>
      </c>
      <c r="H62" s="1">
        <v>2</v>
      </c>
      <c r="I62" s="1">
        <v>0</v>
      </c>
      <c r="J62" s="1">
        <v>0</v>
      </c>
      <c r="K62" s="1">
        <v>0</v>
      </c>
      <c r="L62" s="1">
        <v>18.600000000000001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</row>
    <row r="63" spans="1:19">
      <c r="A63" s="1" t="s">
        <v>228</v>
      </c>
      <c r="B63" s="1" t="s">
        <v>28</v>
      </c>
      <c r="C63" s="1" t="s">
        <v>169</v>
      </c>
      <c r="D63" s="1" t="s">
        <v>172</v>
      </c>
      <c r="E63" s="1">
        <v>5.5</v>
      </c>
      <c r="F63" s="1">
        <v>0</v>
      </c>
      <c r="G63" s="1">
        <v>129</v>
      </c>
      <c r="H63" s="1">
        <v>2</v>
      </c>
      <c r="I63" s="1">
        <v>0</v>
      </c>
      <c r="J63" s="1">
        <v>0</v>
      </c>
      <c r="K63" s="1">
        <v>0</v>
      </c>
      <c r="L63" s="1">
        <v>23.45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</row>
    <row r="64" spans="1:19">
      <c r="A64" s="1" t="s">
        <v>229</v>
      </c>
      <c r="B64" s="1" t="s">
        <v>28</v>
      </c>
      <c r="C64" s="1" t="s">
        <v>169</v>
      </c>
      <c r="D64" s="1" t="s">
        <v>172</v>
      </c>
      <c r="E64" s="1">
        <v>7.5</v>
      </c>
      <c r="F64" s="1">
        <v>0</v>
      </c>
      <c r="G64" s="1">
        <v>154</v>
      </c>
      <c r="H64" s="1">
        <v>2</v>
      </c>
      <c r="I64" s="1">
        <v>0</v>
      </c>
      <c r="J64" s="1">
        <v>0</v>
      </c>
      <c r="K64" s="1">
        <v>0</v>
      </c>
      <c r="L64" s="1">
        <v>20.53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</row>
    <row r="65" spans="1:19">
      <c r="A65" s="1" t="s">
        <v>230</v>
      </c>
      <c r="B65" s="1" t="s">
        <v>30</v>
      </c>
      <c r="C65" s="1" t="s">
        <v>169</v>
      </c>
      <c r="D65" s="1" t="s">
        <v>172</v>
      </c>
      <c r="E65" s="1">
        <v>5.5</v>
      </c>
      <c r="F65" s="1">
        <v>0</v>
      </c>
      <c r="G65" s="1">
        <v>99</v>
      </c>
      <c r="H65" s="1">
        <v>2</v>
      </c>
      <c r="I65" s="1">
        <v>0</v>
      </c>
      <c r="J65" s="1">
        <v>0</v>
      </c>
      <c r="K65" s="1">
        <v>0</v>
      </c>
      <c r="L65" s="1">
        <v>18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</row>
    <row r="66" spans="1:19">
      <c r="A66" s="1" t="s">
        <v>231</v>
      </c>
      <c r="B66" s="1" t="s">
        <v>0</v>
      </c>
      <c r="C66" s="1" t="s">
        <v>161</v>
      </c>
      <c r="D66" s="1" t="s">
        <v>189</v>
      </c>
      <c r="E66" s="1">
        <v>5</v>
      </c>
      <c r="F66" s="1">
        <v>0</v>
      </c>
      <c r="G66" s="1">
        <v>94</v>
      </c>
      <c r="H66" s="1">
        <v>2</v>
      </c>
      <c r="I66" s="1">
        <v>0</v>
      </c>
      <c r="J66" s="1">
        <v>0</v>
      </c>
      <c r="K66" s="1">
        <v>0</v>
      </c>
      <c r="L66" s="1">
        <v>18.8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</row>
    <row r="67" spans="1:19">
      <c r="A67" s="1" t="s">
        <v>232</v>
      </c>
      <c r="B67" s="1" t="s">
        <v>1</v>
      </c>
      <c r="C67" s="1" t="s">
        <v>169</v>
      </c>
      <c r="D67" s="1" t="s">
        <v>162</v>
      </c>
      <c r="E67" s="1">
        <v>5.5</v>
      </c>
      <c r="F67" s="1">
        <v>0</v>
      </c>
      <c r="G67" s="1">
        <v>98</v>
      </c>
      <c r="H67" s="1">
        <v>2</v>
      </c>
      <c r="I67" s="1">
        <v>0</v>
      </c>
      <c r="J67" s="1">
        <v>0</v>
      </c>
      <c r="K67" s="1">
        <v>0</v>
      </c>
      <c r="L67" s="1">
        <v>17.82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</row>
    <row r="68" spans="1:19">
      <c r="A68" s="1" t="s">
        <v>233</v>
      </c>
      <c r="B68" s="1" t="s">
        <v>17</v>
      </c>
      <c r="C68" s="1" t="s">
        <v>169</v>
      </c>
      <c r="D68" s="1" t="s">
        <v>162</v>
      </c>
      <c r="E68" s="1">
        <v>10</v>
      </c>
      <c r="F68" s="1">
        <v>0</v>
      </c>
      <c r="G68" s="1">
        <v>191</v>
      </c>
      <c r="H68" s="1">
        <v>2</v>
      </c>
      <c r="I68" s="1">
        <v>0</v>
      </c>
      <c r="J68" s="1">
        <v>0</v>
      </c>
      <c r="K68" s="1">
        <v>0</v>
      </c>
      <c r="L68" s="1">
        <v>19.100000000000001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</row>
    <row r="69" spans="1:19">
      <c r="A69" s="1" t="s">
        <v>234</v>
      </c>
      <c r="B69" s="1" t="s">
        <v>24</v>
      </c>
      <c r="C69" s="1" t="s">
        <v>169</v>
      </c>
      <c r="D69" s="1" t="s">
        <v>162</v>
      </c>
      <c r="E69" s="1">
        <v>5</v>
      </c>
      <c r="F69" s="1">
        <v>0</v>
      </c>
      <c r="G69" s="1">
        <v>79</v>
      </c>
      <c r="H69" s="1">
        <v>2</v>
      </c>
      <c r="I69" s="1">
        <v>0</v>
      </c>
      <c r="J69" s="1">
        <v>0</v>
      </c>
      <c r="K69" s="1">
        <v>0</v>
      </c>
      <c r="L69" s="1">
        <v>15.8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</row>
    <row r="70" spans="1:19">
      <c r="A70" s="1" t="s">
        <v>235</v>
      </c>
      <c r="B70" s="1" t="s">
        <v>24</v>
      </c>
      <c r="C70" s="1" t="s">
        <v>167</v>
      </c>
      <c r="D70" s="1" t="s">
        <v>162</v>
      </c>
      <c r="E70" s="1">
        <v>5</v>
      </c>
      <c r="F70" s="1">
        <v>0</v>
      </c>
      <c r="G70" s="1">
        <v>118</v>
      </c>
      <c r="H70" s="1">
        <v>2</v>
      </c>
      <c r="I70" s="1">
        <v>0</v>
      </c>
      <c r="J70" s="1">
        <v>0</v>
      </c>
      <c r="K70" s="1">
        <v>0</v>
      </c>
      <c r="L70" s="1">
        <v>23.6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</row>
    <row r="71" spans="1:19">
      <c r="A71" s="1" t="s">
        <v>236</v>
      </c>
      <c r="B71" s="1" t="s">
        <v>15</v>
      </c>
      <c r="C71" s="1" t="s">
        <v>161</v>
      </c>
      <c r="D71" s="1" t="s">
        <v>162</v>
      </c>
      <c r="E71" s="1">
        <v>4.5</v>
      </c>
      <c r="F71" s="1">
        <v>0</v>
      </c>
      <c r="G71" s="1">
        <v>95</v>
      </c>
      <c r="H71" s="1">
        <v>2</v>
      </c>
      <c r="I71" s="1">
        <v>0</v>
      </c>
      <c r="J71" s="1">
        <v>0</v>
      </c>
      <c r="K71" s="1">
        <v>0</v>
      </c>
      <c r="L71" s="1">
        <v>21.11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</row>
    <row r="72" spans="1:19">
      <c r="A72" s="1" t="s">
        <v>237</v>
      </c>
      <c r="B72" s="1" t="s">
        <v>34</v>
      </c>
      <c r="C72" s="1" t="s">
        <v>169</v>
      </c>
      <c r="D72" s="1" t="s">
        <v>172</v>
      </c>
      <c r="E72" s="1">
        <v>5</v>
      </c>
      <c r="F72" s="1">
        <v>0</v>
      </c>
      <c r="G72" s="1">
        <v>79</v>
      </c>
      <c r="H72" s="1">
        <v>2</v>
      </c>
      <c r="I72" s="1">
        <v>0</v>
      </c>
      <c r="J72" s="1">
        <v>0</v>
      </c>
      <c r="K72" s="1">
        <v>0</v>
      </c>
      <c r="L72" s="1">
        <v>15.8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</row>
    <row r="73" spans="1:19">
      <c r="A73" s="1" t="s">
        <v>238</v>
      </c>
      <c r="B73" s="1" t="s">
        <v>10</v>
      </c>
      <c r="C73" s="1" t="s">
        <v>169</v>
      </c>
      <c r="D73" s="1" t="s">
        <v>172</v>
      </c>
      <c r="E73" s="1">
        <v>5.5</v>
      </c>
      <c r="F73" s="1">
        <v>0</v>
      </c>
      <c r="G73" s="1">
        <v>81</v>
      </c>
      <c r="H73" s="1">
        <v>2</v>
      </c>
      <c r="I73" s="1">
        <v>0</v>
      </c>
      <c r="J73" s="1">
        <v>0</v>
      </c>
      <c r="K73" s="1">
        <v>0</v>
      </c>
      <c r="L73" s="1">
        <v>14.73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</row>
    <row r="74" spans="1:19">
      <c r="A74" s="1" t="s">
        <v>239</v>
      </c>
      <c r="B74" s="1" t="s">
        <v>30</v>
      </c>
      <c r="C74" s="1" t="s">
        <v>161</v>
      </c>
      <c r="D74" s="1" t="s">
        <v>172</v>
      </c>
      <c r="E74" s="1">
        <v>5</v>
      </c>
      <c r="F74" s="1">
        <v>0</v>
      </c>
      <c r="G74" s="1">
        <v>99</v>
      </c>
      <c r="H74" s="1">
        <v>2</v>
      </c>
      <c r="I74" s="1">
        <v>0</v>
      </c>
      <c r="J74" s="1">
        <v>0</v>
      </c>
      <c r="K74" s="1">
        <v>0</v>
      </c>
      <c r="L74" s="1">
        <v>19.8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</row>
    <row r="75" spans="1:19">
      <c r="A75" s="1" t="s">
        <v>240</v>
      </c>
      <c r="B75" s="1" t="s">
        <v>17</v>
      </c>
      <c r="C75" s="1" t="s">
        <v>161</v>
      </c>
      <c r="D75" s="1" t="s">
        <v>162</v>
      </c>
      <c r="E75" s="1">
        <v>6</v>
      </c>
      <c r="F75" s="1">
        <v>0</v>
      </c>
      <c r="G75" s="1">
        <v>106</v>
      </c>
      <c r="H75" s="1">
        <v>2</v>
      </c>
      <c r="I75" s="1">
        <v>0</v>
      </c>
      <c r="J75" s="1">
        <v>0</v>
      </c>
      <c r="K75" s="1">
        <v>0</v>
      </c>
      <c r="L75" s="1">
        <v>17.670000000000002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</row>
    <row r="76" spans="1:19">
      <c r="A76" s="1" t="s">
        <v>241</v>
      </c>
      <c r="B76" s="1" t="s">
        <v>12</v>
      </c>
      <c r="C76" s="1" t="s">
        <v>181</v>
      </c>
      <c r="D76" s="1" t="s">
        <v>162</v>
      </c>
      <c r="E76" s="1">
        <v>9.5</v>
      </c>
      <c r="F76" s="1">
        <v>0</v>
      </c>
      <c r="G76" s="1">
        <v>191</v>
      </c>
      <c r="H76" s="1">
        <v>2</v>
      </c>
      <c r="I76" s="1">
        <v>0</v>
      </c>
      <c r="J76" s="1">
        <v>0</v>
      </c>
      <c r="K76" s="1">
        <v>0</v>
      </c>
      <c r="L76" s="1">
        <v>20.11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</row>
    <row r="77" spans="1:19">
      <c r="A77" s="1" t="s">
        <v>242</v>
      </c>
      <c r="B77" s="1" t="s">
        <v>8</v>
      </c>
      <c r="C77" s="1" t="s">
        <v>161</v>
      </c>
      <c r="D77" s="1" t="s">
        <v>162</v>
      </c>
      <c r="E77" s="1">
        <v>5.5</v>
      </c>
      <c r="F77" s="1">
        <v>0</v>
      </c>
      <c r="G77" s="1">
        <v>88</v>
      </c>
      <c r="H77" s="1">
        <v>2</v>
      </c>
      <c r="I77" s="1">
        <v>0</v>
      </c>
      <c r="J77" s="1">
        <v>0</v>
      </c>
      <c r="K77" s="1">
        <v>0</v>
      </c>
      <c r="L77" s="1">
        <v>16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</row>
    <row r="78" spans="1:19">
      <c r="A78" s="1" t="s">
        <v>243</v>
      </c>
      <c r="B78" s="1" t="s">
        <v>34</v>
      </c>
      <c r="C78" s="1" t="s">
        <v>169</v>
      </c>
      <c r="D78" s="1" t="s">
        <v>172</v>
      </c>
      <c r="E78" s="1">
        <v>5</v>
      </c>
      <c r="F78" s="1">
        <v>0</v>
      </c>
      <c r="G78" s="1">
        <v>81</v>
      </c>
      <c r="H78" s="1">
        <v>2</v>
      </c>
      <c r="I78" s="1">
        <v>0</v>
      </c>
      <c r="J78" s="1">
        <v>0</v>
      </c>
      <c r="K78" s="1">
        <v>0</v>
      </c>
      <c r="L78" s="1">
        <v>16.2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</row>
    <row r="79" spans="1:19">
      <c r="A79" s="1" t="s">
        <v>244</v>
      </c>
      <c r="B79" s="1" t="s">
        <v>17</v>
      </c>
      <c r="C79" s="1" t="s">
        <v>161</v>
      </c>
      <c r="D79" s="1" t="s">
        <v>162</v>
      </c>
      <c r="E79" s="1">
        <v>5.5</v>
      </c>
      <c r="F79" s="1">
        <v>0</v>
      </c>
      <c r="G79" s="1">
        <v>84</v>
      </c>
      <c r="H79" s="1">
        <v>2</v>
      </c>
      <c r="I79" s="1">
        <v>0</v>
      </c>
      <c r="J79" s="1">
        <v>0</v>
      </c>
      <c r="K79" s="1">
        <v>0</v>
      </c>
      <c r="L79" s="1">
        <v>15.27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</row>
    <row r="80" spans="1:19">
      <c r="A80" s="1" t="s">
        <v>245</v>
      </c>
      <c r="B80" s="1" t="s">
        <v>5</v>
      </c>
      <c r="C80" s="1" t="s">
        <v>161</v>
      </c>
      <c r="D80" s="1" t="s">
        <v>162</v>
      </c>
      <c r="E80" s="1">
        <v>5</v>
      </c>
      <c r="F80" s="1">
        <v>0</v>
      </c>
      <c r="G80" s="1">
        <v>84</v>
      </c>
      <c r="H80" s="1">
        <v>2</v>
      </c>
      <c r="I80" s="1">
        <v>0</v>
      </c>
      <c r="J80" s="1">
        <v>0</v>
      </c>
      <c r="K80" s="1">
        <v>0</v>
      </c>
      <c r="L80" s="1">
        <v>16.8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>
      <c r="A81" s="1" t="s">
        <v>246</v>
      </c>
      <c r="B81" s="1" t="s">
        <v>30</v>
      </c>
      <c r="C81" s="1" t="s">
        <v>169</v>
      </c>
      <c r="D81" s="1" t="s">
        <v>172</v>
      </c>
      <c r="E81" s="1">
        <v>5</v>
      </c>
      <c r="F81" s="1">
        <v>0</v>
      </c>
      <c r="G81" s="1">
        <v>95</v>
      </c>
      <c r="H81" s="1">
        <v>2</v>
      </c>
      <c r="I81" s="1">
        <v>0</v>
      </c>
      <c r="J81" s="1">
        <v>0</v>
      </c>
      <c r="K81" s="1">
        <v>0</v>
      </c>
      <c r="L81" s="1">
        <v>19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</row>
    <row r="82" spans="1:19">
      <c r="A82" s="1" t="s">
        <v>247</v>
      </c>
      <c r="B82" s="1" t="s">
        <v>17</v>
      </c>
      <c r="C82" s="1" t="s">
        <v>181</v>
      </c>
      <c r="D82" s="1" t="s">
        <v>162</v>
      </c>
      <c r="E82" s="1">
        <v>13</v>
      </c>
      <c r="F82" s="1">
        <v>0</v>
      </c>
      <c r="G82" s="1">
        <v>216</v>
      </c>
      <c r="H82" s="1">
        <v>2</v>
      </c>
      <c r="I82" s="1">
        <v>0</v>
      </c>
      <c r="J82" s="1">
        <v>0</v>
      </c>
      <c r="K82" s="1">
        <v>0</v>
      </c>
      <c r="L82" s="1">
        <v>16.62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>
      <c r="A83" s="1" t="s">
        <v>248</v>
      </c>
      <c r="B83" s="1" t="s">
        <v>26</v>
      </c>
      <c r="C83" s="1" t="s">
        <v>161</v>
      </c>
      <c r="D83" s="1" t="s">
        <v>162</v>
      </c>
      <c r="E83" s="1">
        <v>5</v>
      </c>
      <c r="F83" s="1">
        <v>0</v>
      </c>
      <c r="G83" s="1">
        <v>98</v>
      </c>
      <c r="H83" s="1">
        <v>2</v>
      </c>
      <c r="I83" s="1">
        <v>0</v>
      </c>
      <c r="J83" s="1">
        <v>0</v>
      </c>
      <c r="K83" s="1">
        <v>0</v>
      </c>
      <c r="L83" s="1">
        <v>19.600000000000001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</row>
    <row r="84" spans="1:19">
      <c r="A84" s="1" t="s">
        <v>249</v>
      </c>
      <c r="B84" s="1" t="s">
        <v>15</v>
      </c>
      <c r="C84" s="1" t="s">
        <v>167</v>
      </c>
      <c r="D84" s="1" t="s">
        <v>162</v>
      </c>
      <c r="E84" s="1">
        <v>5</v>
      </c>
      <c r="F84" s="1">
        <v>0</v>
      </c>
      <c r="G84" s="1">
        <v>123</v>
      </c>
      <c r="H84" s="1">
        <v>2</v>
      </c>
      <c r="I84" s="1">
        <v>0</v>
      </c>
      <c r="J84" s="1">
        <v>0</v>
      </c>
      <c r="K84" s="1">
        <v>0</v>
      </c>
      <c r="L84" s="1">
        <v>24.6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</row>
    <row r="85" spans="1:19">
      <c r="A85" s="1" t="s">
        <v>250</v>
      </c>
      <c r="B85" s="1" t="s">
        <v>1</v>
      </c>
      <c r="C85" s="1" t="s">
        <v>161</v>
      </c>
      <c r="D85" s="1" t="s">
        <v>162</v>
      </c>
      <c r="E85" s="1">
        <v>5</v>
      </c>
      <c r="F85" s="1">
        <v>0</v>
      </c>
      <c r="G85" s="1">
        <v>61</v>
      </c>
      <c r="H85" s="1">
        <v>2</v>
      </c>
      <c r="I85" s="1">
        <v>0</v>
      </c>
      <c r="J85" s="1">
        <v>0</v>
      </c>
      <c r="K85" s="1">
        <v>0</v>
      </c>
      <c r="L85" s="1">
        <v>12.2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</row>
    <row r="86" spans="1:19">
      <c r="A86" s="1" t="s">
        <v>251</v>
      </c>
      <c r="B86" s="1" t="s">
        <v>34</v>
      </c>
      <c r="C86" s="1" t="s">
        <v>161</v>
      </c>
      <c r="D86" s="1" t="s">
        <v>172</v>
      </c>
      <c r="E86" s="1">
        <v>4.5</v>
      </c>
      <c r="F86" s="1">
        <v>0</v>
      </c>
      <c r="G86" s="1">
        <v>65</v>
      </c>
      <c r="H86" s="1">
        <v>2</v>
      </c>
      <c r="I86" s="1">
        <v>0</v>
      </c>
      <c r="J86" s="1">
        <v>0</v>
      </c>
      <c r="K86" s="1">
        <v>0</v>
      </c>
      <c r="L86" s="1">
        <v>14.44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</row>
    <row r="87" spans="1:19">
      <c r="A87" s="1" t="s">
        <v>252</v>
      </c>
      <c r="B87" s="1" t="s">
        <v>30</v>
      </c>
      <c r="C87" s="1" t="s">
        <v>167</v>
      </c>
      <c r="D87" s="1" t="s">
        <v>172</v>
      </c>
      <c r="E87" s="1">
        <v>5</v>
      </c>
      <c r="F87" s="1">
        <v>0</v>
      </c>
      <c r="G87" s="1">
        <v>98</v>
      </c>
      <c r="H87" s="1">
        <v>2</v>
      </c>
      <c r="I87" s="1">
        <v>0</v>
      </c>
      <c r="J87" s="1">
        <v>0</v>
      </c>
      <c r="K87" s="1">
        <v>0</v>
      </c>
      <c r="L87" s="1">
        <v>19.600000000000001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</row>
    <row r="88" spans="1:19">
      <c r="A88" s="1" t="s">
        <v>253</v>
      </c>
      <c r="B88" s="1" t="s">
        <v>23</v>
      </c>
      <c r="C88" s="1" t="s">
        <v>161</v>
      </c>
      <c r="D88" s="1" t="s">
        <v>162</v>
      </c>
      <c r="E88" s="1">
        <v>6</v>
      </c>
      <c r="F88" s="1">
        <v>0</v>
      </c>
      <c r="G88" s="1">
        <v>132</v>
      </c>
      <c r="H88" s="1">
        <v>2</v>
      </c>
      <c r="I88" s="1">
        <v>0</v>
      </c>
      <c r="J88" s="1">
        <v>0</v>
      </c>
      <c r="K88" s="1">
        <v>0</v>
      </c>
      <c r="L88" s="1">
        <v>22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</row>
    <row r="89" spans="1:19">
      <c r="A89" s="1" t="s">
        <v>254</v>
      </c>
      <c r="B89" s="1" t="s">
        <v>28</v>
      </c>
      <c r="C89" s="1" t="s">
        <v>161</v>
      </c>
      <c r="D89" s="1" t="s">
        <v>172</v>
      </c>
      <c r="E89" s="1">
        <v>5</v>
      </c>
      <c r="F89" s="1">
        <v>0</v>
      </c>
      <c r="G89" s="1">
        <v>93</v>
      </c>
      <c r="H89" s="1">
        <v>2</v>
      </c>
      <c r="I89" s="1">
        <v>0</v>
      </c>
      <c r="J89" s="1">
        <v>0</v>
      </c>
      <c r="K89" s="1">
        <v>0</v>
      </c>
      <c r="L89" s="1">
        <v>18.600000000000001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</row>
    <row r="90" spans="1:19">
      <c r="A90" s="1" t="s">
        <v>255</v>
      </c>
      <c r="B90" s="1" t="s">
        <v>28</v>
      </c>
      <c r="C90" s="1" t="s">
        <v>169</v>
      </c>
      <c r="D90" s="1" t="s">
        <v>172</v>
      </c>
      <c r="E90" s="1">
        <v>5.5</v>
      </c>
      <c r="F90" s="1">
        <v>0</v>
      </c>
      <c r="G90" s="1">
        <v>99</v>
      </c>
      <c r="H90" s="1">
        <v>2</v>
      </c>
      <c r="I90" s="1">
        <v>0</v>
      </c>
      <c r="J90" s="1">
        <v>0</v>
      </c>
      <c r="K90" s="1">
        <v>0</v>
      </c>
      <c r="L90" s="1">
        <v>18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</row>
    <row r="91" spans="1:19">
      <c r="A91" s="1" t="s">
        <v>256</v>
      </c>
      <c r="B91" s="1" t="s">
        <v>5</v>
      </c>
      <c r="C91" s="1" t="s">
        <v>181</v>
      </c>
      <c r="D91" s="1" t="s">
        <v>162</v>
      </c>
      <c r="E91" s="1">
        <v>6.5</v>
      </c>
      <c r="F91" s="1">
        <v>0</v>
      </c>
      <c r="G91" s="1">
        <v>128</v>
      </c>
      <c r="H91" s="1">
        <v>2</v>
      </c>
      <c r="I91" s="1">
        <v>0</v>
      </c>
      <c r="J91" s="1">
        <v>0</v>
      </c>
      <c r="K91" s="1">
        <v>0</v>
      </c>
      <c r="L91" s="1">
        <v>19.690000000000001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</row>
    <row r="92" spans="1:19">
      <c r="A92" s="1" t="s">
        <v>257</v>
      </c>
      <c r="B92" s="1" t="s">
        <v>38</v>
      </c>
      <c r="C92" s="1" t="s">
        <v>169</v>
      </c>
      <c r="D92" s="1" t="s">
        <v>172</v>
      </c>
      <c r="E92" s="1">
        <v>5.5</v>
      </c>
      <c r="F92" s="1">
        <v>0</v>
      </c>
      <c r="G92" s="1">
        <v>69</v>
      </c>
      <c r="H92" s="1">
        <v>2</v>
      </c>
      <c r="I92" s="1">
        <v>0</v>
      </c>
      <c r="J92" s="1">
        <v>0</v>
      </c>
      <c r="K92" s="1">
        <v>0</v>
      </c>
      <c r="L92" s="1">
        <v>12.55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</row>
    <row r="93" spans="1:19">
      <c r="A93" s="1" t="s">
        <v>258</v>
      </c>
      <c r="B93" s="1" t="s">
        <v>34</v>
      </c>
      <c r="C93" s="1" t="s">
        <v>161</v>
      </c>
      <c r="D93" s="1" t="s">
        <v>172</v>
      </c>
      <c r="E93" s="1">
        <v>4.5</v>
      </c>
      <c r="F93" s="1">
        <v>0</v>
      </c>
      <c r="G93" s="1">
        <v>57</v>
      </c>
      <c r="H93" s="1">
        <v>2</v>
      </c>
      <c r="I93" s="1">
        <v>0</v>
      </c>
      <c r="J93" s="1">
        <v>0</v>
      </c>
      <c r="K93" s="1">
        <v>0</v>
      </c>
      <c r="L93" s="1">
        <v>12.67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</row>
    <row r="94" spans="1:19">
      <c r="A94" s="1" t="s">
        <v>259</v>
      </c>
      <c r="B94" s="1" t="s">
        <v>38</v>
      </c>
      <c r="C94" s="1" t="s">
        <v>161</v>
      </c>
      <c r="D94" s="1" t="s">
        <v>172</v>
      </c>
      <c r="E94" s="1">
        <v>4.5</v>
      </c>
      <c r="F94" s="1">
        <v>0</v>
      </c>
      <c r="G94" s="1">
        <v>70</v>
      </c>
      <c r="H94" s="1">
        <v>2</v>
      </c>
      <c r="I94" s="1">
        <v>0</v>
      </c>
      <c r="J94" s="1">
        <v>0</v>
      </c>
      <c r="K94" s="1">
        <v>0</v>
      </c>
      <c r="L94" s="1">
        <v>15.56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</row>
    <row r="95" spans="1:19">
      <c r="A95" s="1" t="s">
        <v>260</v>
      </c>
      <c r="B95" s="1" t="s">
        <v>20</v>
      </c>
      <c r="C95" s="1" t="s">
        <v>161</v>
      </c>
      <c r="D95" s="1" t="s">
        <v>172</v>
      </c>
      <c r="E95" s="1">
        <v>4.5</v>
      </c>
      <c r="F95" s="1">
        <v>0</v>
      </c>
      <c r="G95" s="1">
        <v>58</v>
      </c>
      <c r="H95" s="1">
        <v>2</v>
      </c>
      <c r="I95" s="1">
        <v>0</v>
      </c>
      <c r="J95" s="1">
        <v>0</v>
      </c>
      <c r="K95" s="1">
        <v>0</v>
      </c>
      <c r="L95" s="1">
        <v>12.89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</row>
    <row r="96" spans="1:19">
      <c r="A96" s="1" t="s">
        <v>261</v>
      </c>
      <c r="B96" s="1" t="s">
        <v>5</v>
      </c>
      <c r="C96" s="1" t="s">
        <v>169</v>
      </c>
      <c r="D96" s="1" t="s">
        <v>162</v>
      </c>
      <c r="E96" s="1">
        <v>6</v>
      </c>
      <c r="F96" s="1">
        <v>0</v>
      </c>
      <c r="G96" s="1">
        <v>125</v>
      </c>
      <c r="H96" s="1">
        <v>2</v>
      </c>
      <c r="I96" s="1">
        <v>0</v>
      </c>
      <c r="J96" s="1">
        <v>0</v>
      </c>
      <c r="K96" s="1">
        <v>0</v>
      </c>
      <c r="L96" s="1">
        <v>20.83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</row>
    <row r="97" spans="1:19">
      <c r="A97" s="1" t="s">
        <v>262</v>
      </c>
      <c r="B97" s="1" t="s">
        <v>12</v>
      </c>
      <c r="C97" s="1" t="s">
        <v>169</v>
      </c>
      <c r="D97" s="1" t="s">
        <v>162</v>
      </c>
      <c r="E97" s="1">
        <v>7</v>
      </c>
      <c r="F97" s="1">
        <v>0</v>
      </c>
      <c r="G97" s="1">
        <v>160</v>
      </c>
      <c r="H97" s="1">
        <v>2</v>
      </c>
      <c r="I97" s="1">
        <v>0</v>
      </c>
      <c r="J97" s="1">
        <v>0</v>
      </c>
      <c r="K97" s="1">
        <v>0</v>
      </c>
      <c r="L97" s="1">
        <v>22.86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</row>
    <row r="98" spans="1:19">
      <c r="A98" s="1" t="s">
        <v>263</v>
      </c>
      <c r="B98" s="1" t="s">
        <v>23</v>
      </c>
      <c r="C98" s="1" t="s">
        <v>169</v>
      </c>
      <c r="D98" s="1" t="s">
        <v>162</v>
      </c>
      <c r="E98" s="1">
        <v>7</v>
      </c>
      <c r="F98" s="1">
        <v>0</v>
      </c>
      <c r="G98" s="1">
        <v>104</v>
      </c>
      <c r="H98" s="1">
        <v>2</v>
      </c>
      <c r="I98" s="1">
        <v>0</v>
      </c>
      <c r="J98" s="1">
        <v>0</v>
      </c>
      <c r="K98" s="1">
        <v>0</v>
      </c>
      <c r="L98" s="1">
        <v>14.86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</row>
    <row r="99" spans="1:19">
      <c r="A99" s="1" t="s">
        <v>264</v>
      </c>
      <c r="B99" s="1" t="s">
        <v>10</v>
      </c>
      <c r="C99" s="1" t="s">
        <v>169</v>
      </c>
      <c r="D99" s="1" t="s">
        <v>172</v>
      </c>
      <c r="E99" s="1">
        <v>5</v>
      </c>
      <c r="F99" s="1">
        <v>0</v>
      </c>
      <c r="G99" s="1">
        <v>79</v>
      </c>
      <c r="H99" s="1">
        <v>2</v>
      </c>
      <c r="I99" s="1">
        <v>0</v>
      </c>
      <c r="J99" s="1">
        <v>0</v>
      </c>
      <c r="K99" s="1">
        <v>0</v>
      </c>
      <c r="L99" s="1">
        <v>15.8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</row>
    <row r="100" spans="1:19">
      <c r="A100" s="1" t="s">
        <v>265</v>
      </c>
      <c r="B100" s="1" t="s">
        <v>26</v>
      </c>
      <c r="C100" s="1" t="s">
        <v>181</v>
      </c>
      <c r="D100" s="1" t="s">
        <v>162</v>
      </c>
      <c r="E100" s="1">
        <v>6</v>
      </c>
      <c r="F100" s="1">
        <v>0</v>
      </c>
      <c r="G100" s="1">
        <v>130</v>
      </c>
      <c r="H100" s="1">
        <v>2</v>
      </c>
      <c r="I100" s="1">
        <v>0</v>
      </c>
      <c r="J100" s="1">
        <v>0</v>
      </c>
      <c r="K100" s="1">
        <v>0</v>
      </c>
      <c r="L100" s="1">
        <v>21.67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</row>
    <row r="101" spans="1:19">
      <c r="A101" s="1" t="s">
        <v>266</v>
      </c>
      <c r="B101" s="1" t="s">
        <v>38</v>
      </c>
      <c r="C101" s="1" t="s">
        <v>181</v>
      </c>
      <c r="D101" s="1" t="s">
        <v>172</v>
      </c>
      <c r="E101" s="1">
        <v>8.5</v>
      </c>
      <c r="F101" s="1">
        <v>0</v>
      </c>
      <c r="G101" s="1">
        <v>127</v>
      </c>
      <c r="H101" s="1">
        <v>2</v>
      </c>
      <c r="I101" s="1">
        <v>0</v>
      </c>
      <c r="J101" s="1">
        <v>0</v>
      </c>
      <c r="K101" s="1">
        <v>0</v>
      </c>
      <c r="L101" s="1">
        <v>14.94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</row>
    <row r="102" spans="1:19">
      <c r="A102" s="1" t="s">
        <v>267</v>
      </c>
      <c r="B102" s="1" t="s">
        <v>20</v>
      </c>
      <c r="C102" s="1" t="s">
        <v>181</v>
      </c>
      <c r="D102" s="1" t="s">
        <v>172</v>
      </c>
      <c r="E102" s="1">
        <v>5.5</v>
      </c>
      <c r="F102" s="1">
        <v>0</v>
      </c>
      <c r="G102" s="1">
        <v>98</v>
      </c>
      <c r="H102" s="1">
        <v>2</v>
      </c>
      <c r="I102" s="1">
        <v>0</v>
      </c>
      <c r="J102" s="1">
        <v>0</v>
      </c>
      <c r="K102" s="1">
        <v>0</v>
      </c>
      <c r="L102" s="1">
        <v>17.82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</row>
    <row r="103" spans="1:19">
      <c r="A103" s="1" t="s">
        <v>268</v>
      </c>
      <c r="B103" s="1" t="s">
        <v>12</v>
      </c>
      <c r="C103" s="1" t="s">
        <v>161</v>
      </c>
      <c r="D103" s="1" t="s">
        <v>162</v>
      </c>
      <c r="E103" s="1">
        <v>5.5</v>
      </c>
      <c r="F103" s="1">
        <v>0</v>
      </c>
      <c r="G103" s="1">
        <v>103</v>
      </c>
      <c r="H103" s="1">
        <v>2</v>
      </c>
      <c r="I103" s="1">
        <v>0</v>
      </c>
      <c r="J103" s="1">
        <v>0</v>
      </c>
      <c r="K103" s="1">
        <v>0</v>
      </c>
      <c r="L103" s="1">
        <v>18.73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</row>
    <row r="104" spans="1:19">
      <c r="A104" s="1" t="s">
        <v>269</v>
      </c>
      <c r="B104" s="1" t="s">
        <v>24</v>
      </c>
      <c r="C104" s="1" t="s">
        <v>169</v>
      </c>
      <c r="D104" s="1" t="s">
        <v>162</v>
      </c>
      <c r="E104" s="1">
        <v>4.5</v>
      </c>
      <c r="F104" s="1">
        <v>0</v>
      </c>
      <c r="G104" s="1">
        <v>80</v>
      </c>
      <c r="H104" s="1">
        <v>2</v>
      </c>
      <c r="I104" s="1">
        <v>0</v>
      </c>
      <c r="J104" s="1">
        <v>0</v>
      </c>
      <c r="K104" s="1">
        <v>0</v>
      </c>
      <c r="L104" s="1">
        <v>17.78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>
      <c r="A105" s="1" t="s">
        <v>270</v>
      </c>
      <c r="B105" s="1" t="s">
        <v>15</v>
      </c>
      <c r="C105" s="1" t="s">
        <v>169</v>
      </c>
      <c r="D105" s="1" t="s">
        <v>162</v>
      </c>
      <c r="E105" s="1">
        <v>4.5</v>
      </c>
      <c r="F105" s="1">
        <v>0</v>
      </c>
      <c r="G105" s="1">
        <v>58</v>
      </c>
      <c r="H105" s="1">
        <v>2</v>
      </c>
      <c r="I105" s="1">
        <v>0</v>
      </c>
      <c r="J105" s="1">
        <v>0</v>
      </c>
      <c r="K105" s="1">
        <v>0</v>
      </c>
      <c r="L105" s="1">
        <v>12.89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</row>
    <row r="106" spans="1:19">
      <c r="A106" s="1" t="s">
        <v>271</v>
      </c>
      <c r="B106" s="1" t="s">
        <v>17</v>
      </c>
      <c r="C106" s="1" t="s">
        <v>169</v>
      </c>
      <c r="D106" s="1" t="s">
        <v>162</v>
      </c>
      <c r="E106" s="1">
        <v>8.5</v>
      </c>
      <c r="F106" s="1">
        <v>0</v>
      </c>
      <c r="G106" s="1">
        <v>134</v>
      </c>
      <c r="H106" s="1">
        <v>2</v>
      </c>
      <c r="I106" s="1">
        <v>0</v>
      </c>
      <c r="J106" s="1">
        <v>0</v>
      </c>
      <c r="K106" s="1">
        <v>0</v>
      </c>
      <c r="L106" s="1">
        <v>15.76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</row>
    <row r="107" spans="1:19">
      <c r="A107" s="1" t="s">
        <v>272</v>
      </c>
      <c r="B107" s="1" t="s">
        <v>12</v>
      </c>
      <c r="C107" s="1" t="s">
        <v>169</v>
      </c>
      <c r="D107" s="1" t="s">
        <v>162</v>
      </c>
      <c r="E107" s="1">
        <v>5</v>
      </c>
      <c r="F107" s="1">
        <v>0</v>
      </c>
      <c r="G107" s="1">
        <v>75</v>
      </c>
      <c r="H107" s="1">
        <v>2</v>
      </c>
      <c r="I107" s="1">
        <v>0</v>
      </c>
      <c r="J107" s="1">
        <v>0</v>
      </c>
      <c r="K107" s="1">
        <v>0</v>
      </c>
      <c r="L107" s="1">
        <v>15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</row>
    <row r="108" spans="1:19">
      <c r="A108" s="1" t="s">
        <v>273</v>
      </c>
      <c r="B108" s="1" t="s">
        <v>0</v>
      </c>
      <c r="C108" s="1" t="s">
        <v>161</v>
      </c>
      <c r="D108" s="1" t="s">
        <v>189</v>
      </c>
      <c r="E108" s="1">
        <v>5.5</v>
      </c>
      <c r="F108" s="1">
        <v>0</v>
      </c>
      <c r="G108" s="1">
        <v>92</v>
      </c>
      <c r="H108" s="1">
        <v>2</v>
      </c>
      <c r="I108" s="1">
        <v>0</v>
      </c>
      <c r="J108" s="1">
        <v>0</v>
      </c>
      <c r="K108" s="1">
        <v>0</v>
      </c>
      <c r="L108" s="1">
        <v>16.73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>
      <c r="A109" s="1" t="s">
        <v>274</v>
      </c>
      <c r="B109" s="1" t="s">
        <v>28</v>
      </c>
      <c r="C109" s="1" t="s">
        <v>169</v>
      </c>
      <c r="D109" s="1" t="s">
        <v>172</v>
      </c>
      <c r="E109" s="1">
        <v>5.5</v>
      </c>
      <c r="F109" s="1">
        <v>0</v>
      </c>
      <c r="G109" s="1">
        <v>81</v>
      </c>
      <c r="H109" s="1">
        <v>2</v>
      </c>
      <c r="I109" s="1">
        <v>0</v>
      </c>
      <c r="J109" s="1">
        <v>0</v>
      </c>
      <c r="K109" s="1">
        <v>0</v>
      </c>
      <c r="L109" s="1">
        <v>14.73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</row>
    <row r="110" spans="1:19">
      <c r="A110" s="1" t="s">
        <v>275</v>
      </c>
      <c r="B110" s="1" t="s">
        <v>15</v>
      </c>
      <c r="C110" s="1" t="s">
        <v>161</v>
      </c>
      <c r="D110" s="1" t="s">
        <v>162</v>
      </c>
      <c r="E110" s="1">
        <v>5</v>
      </c>
      <c r="F110" s="1">
        <v>0</v>
      </c>
      <c r="G110" s="1">
        <v>84</v>
      </c>
      <c r="H110" s="1">
        <v>2</v>
      </c>
      <c r="I110" s="1">
        <v>0</v>
      </c>
      <c r="J110" s="1">
        <v>0</v>
      </c>
      <c r="K110" s="1">
        <v>0</v>
      </c>
      <c r="L110" s="1">
        <v>16.8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</row>
    <row r="111" spans="1:19">
      <c r="A111" s="1" t="s">
        <v>276</v>
      </c>
      <c r="B111" s="1" t="s">
        <v>8</v>
      </c>
      <c r="C111" s="1" t="s">
        <v>169</v>
      </c>
      <c r="D111" s="1" t="s">
        <v>162</v>
      </c>
      <c r="E111" s="1">
        <v>8.5</v>
      </c>
      <c r="F111" s="1">
        <v>0</v>
      </c>
      <c r="G111" s="1">
        <v>138</v>
      </c>
      <c r="H111" s="1">
        <v>2</v>
      </c>
      <c r="I111" s="1">
        <v>0</v>
      </c>
      <c r="J111" s="1">
        <v>0</v>
      </c>
      <c r="K111" s="1">
        <v>0</v>
      </c>
      <c r="L111" s="1">
        <v>16.239999999999998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</row>
    <row r="112" spans="1:19">
      <c r="A112" s="1" t="s">
        <v>277</v>
      </c>
      <c r="B112" s="1" t="s">
        <v>1</v>
      </c>
      <c r="C112" s="1" t="s">
        <v>169</v>
      </c>
      <c r="D112" s="1" t="s">
        <v>162</v>
      </c>
      <c r="E112" s="1">
        <v>5.5</v>
      </c>
      <c r="F112" s="1">
        <v>0</v>
      </c>
      <c r="G112" s="1">
        <v>89</v>
      </c>
      <c r="H112" s="1">
        <v>2</v>
      </c>
      <c r="I112" s="1">
        <v>0</v>
      </c>
      <c r="J112" s="1">
        <v>0</v>
      </c>
      <c r="K112" s="1">
        <v>0</v>
      </c>
      <c r="L112" s="1">
        <v>16.18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</row>
    <row r="113" spans="1:19">
      <c r="A113" s="1" t="s">
        <v>278</v>
      </c>
      <c r="B113" s="1" t="s">
        <v>12</v>
      </c>
      <c r="C113" s="1" t="s">
        <v>169</v>
      </c>
      <c r="D113" s="1" t="s">
        <v>162</v>
      </c>
      <c r="E113" s="1">
        <v>7</v>
      </c>
      <c r="F113" s="1">
        <v>0</v>
      </c>
      <c r="G113" s="1">
        <v>93</v>
      </c>
      <c r="H113" s="1">
        <v>2</v>
      </c>
      <c r="I113" s="1">
        <v>0</v>
      </c>
      <c r="J113" s="1">
        <v>0</v>
      </c>
      <c r="K113" s="1">
        <v>0</v>
      </c>
      <c r="L113" s="1">
        <v>13.29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</row>
    <row r="114" spans="1:19">
      <c r="A114" s="1" t="s">
        <v>279</v>
      </c>
      <c r="B114" s="1" t="s">
        <v>12</v>
      </c>
      <c r="C114" s="1" t="s">
        <v>161</v>
      </c>
      <c r="D114" s="1" t="s">
        <v>162</v>
      </c>
      <c r="E114" s="1">
        <v>5</v>
      </c>
      <c r="F114" s="1">
        <v>0</v>
      </c>
      <c r="G114" s="1">
        <v>93</v>
      </c>
      <c r="H114" s="1">
        <v>2</v>
      </c>
      <c r="I114" s="1">
        <v>0</v>
      </c>
      <c r="J114" s="1">
        <v>0</v>
      </c>
      <c r="K114" s="1">
        <v>0</v>
      </c>
      <c r="L114" s="1">
        <v>18.600000000000001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</row>
    <row r="115" spans="1:19">
      <c r="A115" s="1" t="s">
        <v>280</v>
      </c>
      <c r="B115" s="1" t="s">
        <v>0</v>
      </c>
      <c r="C115" s="1" t="s">
        <v>161</v>
      </c>
      <c r="D115" s="1" t="s">
        <v>189</v>
      </c>
      <c r="E115" s="1">
        <v>6</v>
      </c>
      <c r="F115" s="1">
        <v>0</v>
      </c>
      <c r="G115" s="1">
        <v>120</v>
      </c>
      <c r="H115" s="1">
        <v>2</v>
      </c>
      <c r="I115" s="1">
        <v>0</v>
      </c>
      <c r="J115" s="1">
        <v>0</v>
      </c>
      <c r="K115" s="1">
        <v>0</v>
      </c>
      <c r="L115" s="1">
        <v>20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</row>
    <row r="116" spans="1:19">
      <c r="A116" s="1" t="s">
        <v>281</v>
      </c>
      <c r="B116" s="1" t="s">
        <v>17</v>
      </c>
      <c r="C116" s="1" t="s">
        <v>169</v>
      </c>
      <c r="D116" s="1" t="s">
        <v>162</v>
      </c>
      <c r="E116" s="1">
        <v>6</v>
      </c>
      <c r="F116" s="1">
        <v>0</v>
      </c>
      <c r="G116" s="1">
        <v>95</v>
      </c>
      <c r="H116" s="1">
        <v>2</v>
      </c>
      <c r="I116" s="1">
        <v>0</v>
      </c>
      <c r="J116" s="1">
        <v>0</v>
      </c>
      <c r="K116" s="1">
        <v>0</v>
      </c>
      <c r="L116" s="1">
        <v>15.83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</row>
    <row r="117" spans="1:19">
      <c r="A117" s="1" t="s">
        <v>282</v>
      </c>
      <c r="B117" s="1" t="s">
        <v>12</v>
      </c>
      <c r="C117" s="1" t="s">
        <v>161</v>
      </c>
      <c r="D117" s="1" t="s">
        <v>162</v>
      </c>
      <c r="E117" s="1">
        <v>5</v>
      </c>
      <c r="F117" s="1">
        <v>0</v>
      </c>
      <c r="G117" s="1">
        <v>88</v>
      </c>
      <c r="H117" s="1">
        <v>2</v>
      </c>
      <c r="I117" s="1">
        <v>0</v>
      </c>
      <c r="J117" s="1">
        <v>0</v>
      </c>
      <c r="K117" s="1">
        <v>0</v>
      </c>
      <c r="L117" s="1">
        <v>17.600000000000001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</row>
    <row r="118" spans="1:19">
      <c r="A118" s="1" t="s">
        <v>283</v>
      </c>
      <c r="B118" s="1" t="s">
        <v>5</v>
      </c>
      <c r="C118" s="1" t="s">
        <v>169</v>
      </c>
      <c r="D118" s="1" t="s">
        <v>162</v>
      </c>
      <c r="E118" s="1">
        <v>4.5</v>
      </c>
      <c r="F118" s="1">
        <v>0</v>
      </c>
      <c r="G118" s="1">
        <v>56</v>
      </c>
      <c r="H118" s="1">
        <v>2</v>
      </c>
      <c r="I118" s="1">
        <v>0</v>
      </c>
      <c r="J118" s="1">
        <v>0</v>
      </c>
      <c r="K118" s="1">
        <v>0</v>
      </c>
      <c r="L118" s="1">
        <v>12.44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</row>
    <row r="119" spans="1:19">
      <c r="A119" s="1" t="s">
        <v>284</v>
      </c>
      <c r="B119" s="1" t="s">
        <v>3</v>
      </c>
      <c r="C119" s="1" t="s">
        <v>161</v>
      </c>
      <c r="D119" s="1" t="s">
        <v>162</v>
      </c>
      <c r="E119" s="1">
        <v>5</v>
      </c>
      <c r="F119" s="1">
        <v>0</v>
      </c>
      <c r="G119" s="1">
        <v>94</v>
      </c>
      <c r="H119" s="1">
        <v>2</v>
      </c>
      <c r="I119" s="1">
        <v>0</v>
      </c>
      <c r="J119" s="1">
        <v>0</v>
      </c>
      <c r="K119" s="1">
        <v>0</v>
      </c>
      <c r="L119" s="1">
        <v>18.8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</row>
    <row r="120" spans="1:19">
      <c r="A120" s="1" t="s">
        <v>285</v>
      </c>
      <c r="B120" s="1" t="s">
        <v>17</v>
      </c>
      <c r="C120" s="1" t="s">
        <v>169</v>
      </c>
      <c r="D120" s="1" t="s">
        <v>162</v>
      </c>
      <c r="E120" s="1">
        <v>6.5</v>
      </c>
      <c r="F120" s="1">
        <v>0</v>
      </c>
      <c r="G120" s="1">
        <v>101</v>
      </c>
      <c r="H120" s="1">
        <v>2</v>
      </c>
      <c r="I120" s="1">
        <v>0</v>
      </c>
      <c r="J120" s="1">
        <v>0</v>
      </c>
      <c r="K120" s="1">
        <v>0</v>
      </c>
      <c r="L120" s="1">
        <v>15.54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</row>
    <row r="121" spans="1:19">
      <c r="A121" s="1" t="s">
        <v>286</v>
      </c>
      <c r="B121" s="1" t="s">
        <v>26</v>
      </c>
      <c r="C121" s="1" t="s">
        <v>161</v>
      </c>
      <c r="D121" s="1" t="s">
        <v>162</v>
      </c>
      <c r="E121" s="1">
        <v>4.5</v>
      </c>
      <c r="F121" s="1">
        <v>0</v>
      </c>
      <c r="G121" s="1">
        <v>62</v>
      </c>
      <c r="H121" s="1">
        <v>2</v>
      </c>
      <c r="I121" s="1">
        <v>0</v>
      </c>
      <c r="J121" s="1">
        <v>0</v>
      </c>
      <c r="K121" s="1">
        <v>0</v>
      </c>
      <c r="L121" s="1">
        <v>13.78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</row>
    <row r="122" spans="1:19">
      <c r="A122" s="1" t="s">
        <v>287</v>
      </c>
      <c r="B122" s="1" t="s">
        <v>26</v>
      </c>
      <c r="C122" s="1" t="s">
        <v>181</v>
      </c>
      <c r="D122" s="1" t="s">
        <v>162</v>
      </c>
      <c r="E122" s="1">
        <v>6</v>
      </c>
      <c r="F122" s="1">
        <v>0</v>
      </c>
      <c r="G122" s="1">
        <v>120</v>
      </c>
      <c r="H122" s="1">
        <v>2</v>
      </c>
      <c r="I122" s="1">
        <v>0</v>
      </c>
      <c r="J122" s="1">
        <v>0</v>
      </c>
      <c r="K122" s="1">
        <v>0</v>
      </c>
      <c r="L122" s="1">
        <v>20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</row>
    <row r="123" spans="1:19">
      <c r="A123" s="1" t="s">
        <v>288</v>
      </c>
      <c r="B123" s="1" t="s">
        <v>12</v>
      </c>
      <c r="C123" s="1" t="s">
        <v>169</v>
      </c>
      <c r="D123" s="1" t="s">
        <v>162</v>
      </c>
      <c r="E123" s="1">
        <v>4.5</v>
      </c>
      <c r="F123" s="1">
        <v>0</v>
      </c>
      <c r="G123" s="1">
        <v>55</v>
      </c>
      <c r="H123" s="1">
        <v>2</v>
      </c>
      <c r="I123" s="1">
        <v>0</v>
      </c>
      <c r="J123" s="1">
        <v>0</v>
      </c>
      <c r="K123" s="1">
        <v>0</v>
      </c>
      <c r="L123" s="1">
        <v>12.22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</row>
    <row r="124" spans="1:19">
      <c r="A124" s="1" t="s">
        <v>289</v>
      </c>
      <c r="B124" s="1" t="s">
        <v>17</v>
      </c>
      <c r="C124" s="1" t="s">
        <v>161</v>
      </c>
      <c r="D124" s="1" t="s">
        <v>162</v>
      </c>
      <c r="E124" s="1">
        <v>5.5</v>
      </c>
      <c r="F124" s="1">
        <v>0</v>
      </c>
      <c r="G124" s="1">
        <v>95</v>
      </c>
      <c r="H124" s="1">
        <v>2</v>
      </c>
      <c r="I124" s="1">
        <v>0</v>
      </c>
      <c r="J124" s="1">
        <v>0</v>
      </c>
      <c r="K124" s="1">
        <v>0</v>
      </c>
      <c r="L124" s="1">
        <v>17.27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</row>
    <row r="125" spans="1:19">
      <c r="A125" s="1" t="s">
        <v>290</v>
      </c>
      <c r="B125" s="1" t="s">
        <v>8</v>
      </c>
      <c r="C125" s="1" t="s">
        <v>169</v>
      </c>
      <c r="D125" s="1" t="s">
        <v>162</v>
      </c>
      <c r="E125" s="1">
        <v>5.5</v>
      </c>
      <c r="F125" s="1">
        <v>0</v>
      </c>
      <c r="G125" s="1">
        <v>90</v>
      </c>
      <c r="H125" s="1">
        <v>2</v>
      </c>
      <c r="I125" s="1">
        <v>0</v>
      </c>
      <c r="J125" s="1">
        <v>0</v>
      </c>
      <c r="K125" s="1">
        <v>0</v>
      </c>
      <c r="L125" s="1">
        <v>16.36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</row>
    <row r="126" spans="1:19">
      <c r="A126" s="1" t="s">
        <v>291</v>
      </c>
      <c r="B126" s="1" t="s">
        <v>8</v>
      </c>
      <c r="C126" s="1" t="s">
        <v>169</v>
      </c>
      <c r="D126" s="1" t="s">
        <v>162</v>
      </c>
      <c r="E126" s="1">
        <v>5.5</v>
      </c>
      <c r="F126" s="1">
        <v>0</v>
      </c>
      <c r="G126" s="1">
        <v>82</v>
      </c>
      <c r="H126" s="1">
        <v>2</v>
      </c>
      <c r="I126" s="1">
        <v>0</v>
      </c>
      <c r="J126" s="1">
        <v>0</v>
      </c>
      <c r="K126" s="1">
        <v>0</v>
      </c>
      <c r="L126" s="1">
        <v>14.91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</row>
    <row r="127" spans="1:19">
      <c r="A127" s="1" t="s">
        <v>292</v>
      </c>
      <c r="B127" s="1" t="s">
        <v>26</v>
      </c>
      <c r="C127" s="1" t="s">
        <v>167</v>
      </c>
      <c r="D127" s="1" t="s">
        <v>162</v>
      </c>
      <c r="E127" s="1">
        <v>4.5</v>
      </c>
      <c r="F127" s="1">
        <v>0</v>
      </c>
      <c r="G127" s="1">
        <v>83</v>
      </c>
      <c r="H127" s="1">
        <v>2</v>
      </c>
      <c r="I127" s="1">
        <v>0</v>
      </c>
      <c r="J127" s="1">
        <v>0</v>
      </c>
      <c r="K127" s="1">
        <v>0</v>
      </c>
      <c r="L127" s="1">
        <v>18.440000000000001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</row>
    <row r="128" spans="1:19">
      <c r="A128" s="1" t="s">
        <v>293</v>
      </c>
      <c r="B128" s="1" t="s">
        <v>38</v>
      </c>
      <c r="C128" s="1" t="s">
        <v>169</v>
      </c>
      <c r="D128" s="1" t="s">
        <v>172</v>
      </c>
      <c r="E128" s="1">
        <v>4.5</v>
      </c>
      <c r="F128" s="1">
        <v>0</v>
      </c>
      <c r="G128" s="1">
        <v>55</v>
      </c>
      <c r="H128" s="1">
        <v>2</v>
      </c>
      <c r="I128" s="1">
        <v>0</v>
      </c>
      <c r="J128" s="1">
        <v>0</v>
      </c>
      <c r="K128" s="1">
        <v>0</v>
      </c>
      <c r="L128" s="1">
        <v>12.22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>
      <c r="A129" s="1" t="s">
        <v>294</v>
      </c>
      <c r="B129" s="1" t="s">
        <v>5</v>
      </c>
      <c r="C129" s="1" t="s">
        <v>161</v>
      </c>
      <c r="D129" s="1" t="s">
        <v>162</v>
      </c>
      <c r="E129" s="1">
        <v>4.5</v>
      </c>
      <c r="F129" s="1">
        <v>0</v>
      </c>
      <c r="G129" s="1">
        <v>66</v>
      </c>
      <c r="H129" s="1">
        <v>2</v>
      </c>
      <c r="I129" s="1">
        <v>0</v>
      </c>
      <c r="J129" s="1">
        <v>0</v>
      </c>
      <c r="K129" s="1">
        <v>0</v>
      </c>
      <c r="L129" s="1">
        <v>14.67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</row>
    <row r="130" spans="1:19">
      <c r="A130" s="1" t="s">
        <v>295</v>
      </c>
      <c r="B130" s="1" t="s">
        <v>24</v>
      </c>
      <c r="C130" s="1" t="s">
        <v>169</v>
      </c>
      <c r="D130" s="1" t="s">
        <v>162</v>
      </c>
      <c r="E130" s="1">
        <v>8</v>
      </c>
      <c r="F130" s="1">
        <v>0</v>
      </c>
      <c r="G130" s="1">
        <v>137</v>
      </c>
      <c r="H130" s="1">
        <v>2</v>
      </c>
      <c r="I130" s="1">
        <v>0</v>
      </c>
      <c r="J130" s="1">
        <v>0</v>
      </c>
      <c r="K130" s="1">
        <v>0</v>
      </c>
      <c r="L130" s="1">
        <v>17.13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</row>
    <row r="131" spans="1:19">
      <c r="A131" s="1" t="s">
        <v>296</v>
      </c>
      <c r="B131" s="1" t="s">
        <v>38</v>
      </c>
      <c r="C131" s="1" t="s">
        <v>161</v>
      </c>
      <c r="D131" s="1" t="s">
        <v>172</v>
      </c>
      <c r="E131" s="1">
        <v>4.5</v>
      </c>
      <c r="F131" s="1">
        <v>0</v>
      </c>
      <c r="G131" s="1">
        <v>70</v>
      </c>
      <c r="H131" s="1">
        <v>2</v>
      </c>
      <c r="I131" s="1">
        <v>0</v>
      </c>
      <c r="J131" s="1">
        <v>0</v>
      </c>
      <c r="K131" s="1">
        <v>0</v>
      </c>
      <c r="L131" s="1">
        <v>15.56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</row>
    <row r="132" spans="1:19">
      <c r="A132" s="1" t="s">
        <v>297</v>
      </c>
      <c r="B132" s="1" t="s">
        <v>5</v>
      </c>
      <c r="C132" s="1" t="s">
        <v>161</v>
      </c>
      <c r="D132" s="1" t="s">
        <v>162</v>
      </c>
      <c r="E132" s="1">
        <v>4.5</v>
      </c>
      <c r="F132" s="1">
        <v>0</v>
      </c>
      <c r="G132" s="1">
        <v>63</v>
      </c>
      <c r="H132" s="1">
        <v>2</v>
      </c>
      <c r="I132" s="1">
        <v>0</v>
      </c>
      <c r="J132" s="1">
        <v>0</v>
      </c>
      <c r="K132" s="1">
        <v>0</v>
      </c>
      <c r="L132" s="1">
        <v>14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</row>
    <row r="133" spans="1:19">
      <c r="A133" s="1" t="s">
        <v>298</v>
      </c>
      <c r="B133" s="1" t="s">
        <v>8</v>
      </c>
      <c r="C133" s="1" t="s">
        <v>181</v>
      </c>
      <c r="D133" s="1" t="s">
        <v>162</v>
      </c>
      <c r="E133" s="1">
        <v>9.5</v>
      </c>
      <c r="F133" s="1">
        <v>0</v>
      </c>
      <c r="G133" s="1">
        <v>105</v>
      </c>
      <c r="H133" s="1">
        <v>2</v>
      </c>
      <c r="I133" s="1">
        <v>0</v>
      </c>
      <c r="J133" s="1">
        <v>0</v>
      </c>
      <c r="K133" s="1">
        <v>0</v>
      </c>
      <c r="L133" s="1">
        <v>11.05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</row>
    <row r="134" spans="1:19">
      <c r="A134" s="1" t="s">
        <v>299</v>
      </c>
      <c r="B134" s="1" t="s">
        <v>20</v>
      </c>
      <c r="C134" s="1" t="s">
        <v>161</v>
      </c>
      <c r="D134" s="1" t="s">
        <v>172</v>
      </c>
      <c r="E134" s="1">
        <v>4.5</v>
      </c>
      <c r="F134" s="1">
        <v>0</v>
      </c>
      <c r="G134" s="1">
        <v>58</v>
      </c>
      <c r="H134" s="1">
        <v>2</v>
      </c>
      <c r="I134" s="1">
        <v>0</v>
      </c>
      <c r="J134" s="1">
        <v>0</v>
      </c>
      <c r="K134" s="1">
        <v>0</v>
      </c>
      <c r="L134" s="1">
        <v>12.89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>
      <c r="A135" s="1" t="s">
        <v>242</v>
      </c>
      <c r="B135" s="1" t="s">
        <v>1</v>
      </c>
      <c r="C135" s="1" t="s">
        <v>181</v>
      </c>
      <c r="D135" s="1" t="s">
        <v>162</v>
      </c>
      <c r="E135" s="1">
        <v>6</v>
      </c>
      <c r="F135" s="1">
        <v>0</v>
      </c>
      <c r="G135" s="1">
        <v>94</v>
      </c>
      <c r="H135" s="1">
        <v>2</v>
      </c>
      <c r="I135" s="1">
        <v>0</v>
      </c>
      <c r="J135" s="1">
        <v>0</v>
      </c>
      <c r="K135" s="1">
        <v>0</v>
      </c>
      <c r="L135" s="1">
        <v>15.67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</row>
    <row r="136" spans="1:19">
      <c r="A136" s="1" t="s">
        <v>300</v>
      </c>
      <c r="B136" s="1" t="s">
        <v>5</v>
      </c>
      <c r="C136" s="1" t="s">
        <v>161</v>
      </c>
      <c r="D136" s="1" t="s">
        <v>162</v>
      </c>
      <c r="E136" s="1">
        <v>4.5</v>
      </c>
      <c r="F136" s="1">
        <v>0</v>
      </c>
      <c r="G136" s="1">
        <v>66</v>
      </c>
      <c r="H136" s="1">
        <v>2</v>
      </c>
      <c r="I136" s="1">
        <v>0</v>
      </c>
      <c r="J136" s="1">
        <v>0</v>
      </c>
      <c r="K136" s="1">
        <v>0</v>
      </c>
      <c r="L136" s="1">
        <v>14.67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</row>
    <row r="137" spans="1:19">
      <c r="A137" s="1" t="s">
        <v>301</v>
      </c>
      <c r="B137" s="1" t="s">
        <v>26</v>
      </c>
      <c r="C137" s="1" t="s">
        <v>169</v>
      </c>
      <c r="D137" s="1" t="s">
        <v>162</v>
      </c>
      <c r="E137" s="1">
        <v>5.5</v>
      </c>
      <c r="F137" s="1">
        <v>0</v>
      </c>
      <c r="G137" s="1">
        <v>102</v>
      </c>
      <c r="H137" s="1">
        <v>2</v>
      </c>
      <c r="I137" s="1">
        <v>0</v>
      </c>
      <c r="J137" s="1">
        <v>0</v>
      </c>
      <c r="K137" s="1">
        <v>0</v>
      </c>
      <c r="L137" s="1">
        <v>18.55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</row>
    <row r="138" spans="1:19">
      <c r="A138" s="1" t="s">
        <v>302</v>
      </c>
      <c r="B138" s="1" t="s">
        <v>15</v>
      </c>
      <c r="C138" s="1" t="s">
        <v>169</v>
      </c>
      <c r="D138" s="1" t="s">
        <v>162</v>
      </c>
      <c r="E138" s="1">
        <v>6</v>
      </c>
      <c r="F138" s="1">
        <v>0</v>
      </c>
      <c r="G138" s="1">
        <v>98</v>
      </c>
      <c r="H138" s="1">
        <v>2</v>
      </c>
      <c r="I138" s="1">
        <v>0</v>
      </c>
      <c r="J138" s="1">
        <v>0</v>
      </c>
      <c r="K138" s="1">
        <v>0</v>
      </c>
      <c r="L138" s="1">
        <v>16.329999999999998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</row>
    <row r="139" spans="1:19">
      <c r="A139" s="1" t="s">
        <v>303</v>
      </c>
      <c r="B139" s="1" t="s">
        <v>34</v>
      </c>
      <c r="C139" s="1" t="s">
        <v>169</v>
      </c>
      <c r="D139" s="1" t="s">
        <v>172</v>
      </c>
      <c r="E139" s="1">
        <v>5</v>
      </c>
      <c r="F139" s="1">
        <v>0</v>
      </c>
      <c r="G139" s="1">
        <v>86</v>
      </c>
      <c r="H139" s="1">
        <v>2</v>
      </c>
      <c r="I139" s="1">
        <v>0</v>
      </c>
      <c r="J139" s="1">
        <v>0</v>
      </c>
      <c r="K139" s="1">
        <v>0</v>
      </c>
      <c r="L139" s="1">
        <v>17.2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</row>
    <row r="140" spans="1:19">
      <c r="A140" s="1" t="s">
        <v>304</v>
      </c>
      <c r="B140" s="1" t="s">
        <v>30</v>
      </c>
      <c r="C140" s="1" t="s">
        <v>161</v>
      </c>
      <c r="D140" s="1" t="s">
        <v>172</v>
      </c>
      <c r="E140" s="1">
        <v>5</v>
      </c>
      <c r="F140" s="1">
        <v>0</v>
      </c>
      <c r="G140" s="1">
        <v>89</v>
      </c>
      <c r="H140" s="1">
        <v>2</v>
      </c>
      <c r="I140" s="1">
        <v>0</v>
      </c>
      <c r="J140" s="1">
        <v>0</v>
      </c>
      <c r="K140" s="1">
        <v>0</v>
      </c>
      <c r="L140" s="1">
        <v>17.8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</row>
    <row r="141" spans="1:19">
      <c r="A141" s="1" t="s">
        <v>305</v>
      </c>
      <c r="B141" s="1" t="s">
        <v>23</v>
      </c>
      <c r="C141" s="1" t="s">
        <v>181</v>
      </c>
      <c r="D141" s="1" t="s">
        <v>162</v>
      </c>
      <c r="E141" s="1">
        <v>11</v>
      </c>
      <c r="F141" s="1">
        <v>0</v>
      </c>
      <c r="G141" s="1">
        <v>150</v>
      </c>
      <c r="H141" s="1">
        <v>2</v>
      </c>
      <c r="I141" s="1">
        <v>0</v>
      </c>
      <c r="J141" s="1">
        <v>0</v>
      </c>
      <c r="K141" s="1">
        <v>0</v>
      </c>
      <c r="L141" s="1">
        <v>13.64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</row>
    <row r="142" spans="1:19">
      <c r="A142" s="1" t="s">
        <v>306</v>
      </c>
      <c r="B142" s="1" t="s">
        <v>8</v>
      </c>
      <c r="C142" s="1" t="s">
        <v>169</v>
      </c>
      <c r="D142" s="1" t="s">
        <v>162</v>
      </c>
      <c r="E142" s="1">
        <v>6</v>
      </c>
      <c r="F142" s="1">
        <v>0</v>
      </c>
      <c r="G142" s="1">
        <v>89</v>
      </c>
      <c r="H142" s="1">
        <v>2</v>
      </c>
      <c r="I142" s="1">
        <v>0</v>
      </c>
      <c r="J142" s="1">
        <v>0</v>
      </c>
      <c r="K142" s="1">
        <v>0</v>
      </c>
      <c r="L142" s="1">
        <v>14.83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</row>
    <row r="143" spans="1:19">
      <c r="A143" s="1" t="s">
        <v>307</v>
      </c>
      <c r="B143" s="1" t="s">
        <v>3</v>
      </c>
      <c r="C143" s="1" t="s">
        <v>169</v>
      </c>
      <c r="D143" s="1" t="s">
        <v>162</v>
      </c>
      <c r="E143" s="1">
        <v>5.5</v>
      </c>
      <c r="F143" s="1">
        <v>0</v>
      </c>
      <c r="G143" s="1">
        <v>66</v>
      </c>
      <c r="H143" s="1">
        <v>2</v>
      </c>
      <c r="I143" s="1">
        <v>0</v>
      </c>
      <c r="J143" s="1">
        <v>0</v>
      </c>
      <c r="K143" s="1">
        <v>0</v>
      </c>
      <c r="L143" s="1">
        <v>12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</row>
    <row r="144" spans="1:19">
      <c r="A144" s="1" t="s">
        <v>308</v>
      </c>
      <c r="B144" s="1" t="s">
        <v>10</v>
      </c>
      <c r="C144" s="1" t="s">
        <v>181</v>
      </c>
      <c r="D144" s="1" t="s">
        <v>172</v>
      </c>
      <c r="E144" s="1">
        <v>5.5</v>
      </c>
      <c r="F144" s="1">
        <v>0</v>
      </c>
      <c r="G144" s="1">
        <v>98</v>
      </c>
      <c r="H144" s="1">
        <v>2</v>
      </c>
      <c r="I144" s="1">
        <v>0</v>
      </c>
      <c r="J144" s="1">
        <v>0</v>
      </c>
      <c r="K144" s="1">
        <v>0</v>
      </c>
      <c r="L144" s="1">
        <v>17.82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</row>
    <row r="145" spans="1:19">
      <c r="A145" s="1" t="s">
        <v>309</v>
      </c>
      <c r="B145" s="1" t="s">
        <v>17</v>
      </c>
      <c r="C145" s="1" t="s">
        <v>161</v>
      </c>
      <c r="D145" s="1" t="s">
        <v>162</v>
      </c>
      <c r="E145" s="1">
        <v>5.5</v>
      </c>
      <c r="F145" s="1">
        <v>0</v>
      </c>
      <c r="G145" s="1">
        <v>93</v>
      </c>
      <c r="H145" s="1">
        <v>2</v>
      </c>
      <c r="I145" s="1">
        <v>0</v>
      </c>
      <c r="J145" s="1">
        <v>0</v>
      </c>
      <c r="K145" s="1">
        <v>0</v>
      </c>
      <c r="L145" s="1">
        <v>16.91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</row>
    <row r="146" spans="1:19">
      <c r="A146" s="1" t="s">
        <v>310</v>
      </c>
      <c r="B146" s="1" t="s">
        <v>24</v>
      </c>
      <c r="C146" s="1" t="s">
        <v>169</v>
      </c>
      <c r="D146" s="1" t="s">
        <v>162</v>
      </c>
      <c r="E146" s="1">
        <v>7</v>
      </c>
      <c r="F146" s="1">
        <v>0</v>
      </c>
      <c r="G146" s="1">
        <v>117</v>
      </c>
      <c r="H146" s="1">
        <v>2</v>
      </c>
      <c r="I146" s="1">
        <v>0</v>
      </c>
      <c r="J146" s="1">
        <v>0</v>
      </c>
      <c r="K146" s="1">
        <v>0</v>
      </c>
      <c r="L146" s="1">
        <v>16.71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</row>
    <row r="147" spans="1:19">
      <c r="A147" s="1" t="s">
        <v>311</v>
      </c>
      <c r="B147" s="1" t="s">
        <v>10</v>
      </c>
      <c r="C147" s="1" t="s">
        <v>161</v>
      </c>
      <c r="D147" s="1" t="s">
        <v>172</v>
      </c>
      <c r="E147" s="1">
        <v>5.5</v>
      </c>
      <c r="F147" s="1">
        <v>0</v>
      </c>
      <c r="G147" s="1">
        <v>82</v>
      </c>
      <c r="H147" s="1">
        <v>2</v>
      </c>
      <c r="I147" s="1">
        <v>0</v>
      </c>
      <c r="J147" s="1">
        <v>0</v>
      </c>
      <c r="K147" s="1">
        <v>0</v>
      </c>
      <c r="L147" s="1">
        <v>14.91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</row>
    <row r="148" spans="1:19">
      <c r="A148" s="1" t="s">
        <v>312</v>
      </c>
      <c r="B148" s="1" t="s">
        <v>3</v>
      </c>
      <c r="C148" s="1" t="s">
        <v>161</v>
      </c>
      <c r="D148" s="1" t="s">
        <v>162</v>
      </c>
      <c r="E148" s="1">
        <v>5</v>
      </c>
      <c r="F148" s="1">
        <v>0</v>
      </c>
      <c r="G148" s="1">
        <v>66</v>
      </c>
      <c r="H148" s="1">
        <v>2</v>
      </c>
      <c r="I148" s="1">
        <v>0</v>
      </c>
      <c r="J148" s="1">
        <v>0</v>
      </c>
      <c r="K148" s="1">
        <v>0</v>
      </c>
      <c r="L148" s="1">
        <v>13.2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</row>
    <row r="149" spans="1:19">
      <c r="A149" s="1" t="s">
        <v>313</v>
      </c>
      <c r="B149" s="1" t="s">
        <v>28</v>
      </c>
      <c r="C149" s="1" t="s">
        <v>161</v>
      </c>
      <c r="D149" s="1" t="s">
        <v>172</v>
      </c>
      <c r="E149" s="1">
        <v>4.5</v>
      </c>
      <c r="F149" s="1">
        <v>0</v>
      </c>
      <c r="G149" s="1">
        <v>64</v>
      </c>
      <c r="H149" s="1">
        <v>2</v>
      </c>
      <c r="I149" s="1">
        <v>0</v>
      </c>
      <c r="J149" s="1">
        <v>0</v>
      </c>
      <c r="K149" s="1">
        <v>0</v>
      </c>
      <c r="L149" s="1">
        <v>14.22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</row>
    <row r="150" spans="1:19">
      <c r="A150" s="1" t="s">
        <v>314</v>
      </c>
      <c r="B150" s="1" t="s">
        <v>17</v>
      </c>
      <c r="C150" s="1" t="s">
        <v>161</v>
      </c>
      <c r="D150" s="1" t="s">
        <v>162</v>
      </c>
      <c r="E150" s="1">
        <v>6</v>
      </c>
      <c r="F150" s="1">
        <v>0</v>
      </c>
      <c r="G150" s="1">
        <v>66</v>
      </c>
      <c r="H150" s="1">
        <v>2</v>
      </c>
      <c r="I150" s="1">
        <v>0</v>
      </c>
      <c r="J150" s="1">
        <v>0</v>
      </c>
      <c r="K150" s="1">
        <v>0</v>
      </c>
      <c r="L150" s="1">
        <v>11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</row>
    <row r="151" spans="1:19">
      <c r="A151" s="1" t="s">
        <v>315</v>
      </c>
      <c r="B151" s="1" t="s">
        <v>23</v>
      </c>
      <c r="C151" s="1" t="s">
        <v>169</v>
      </c>
      <c r="D151" s="1" t="s">
        <v>162</v>
      </c>
      <c r="E151" s="1">
        <v>8.5</v>
      </c>
      <c r="F151" s="1">
        <v>0</v>
      </c>
      <c r="G151" s="1">
        <v>126</v>
      </c>
      <c r="H151" s="1">
        <v>2</v>
      </c>
      <c r="I151" s="1">
        <v>0</v>
      </c>
      <c r="J151" s="1">
        <v>0</v>
      </c>
      <c r="K151" s="1">
        <v>0</v>
      </c>
      <c r="L151" s="1">
        <v>14.82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</row>
    <row r="152" spans="1:19">
      <c r="A152" s="1" t="s">
        <v>316</v>
      </c>
      <c r="B152" s="1" t="s">
        <v>38</v>
      </c>
      <c r="C152" s="1" t="s">
        <v>161</v>
      </c>
      <c r="D152" s="1" t="s">
        <v>172</v>
      </c>
      <c r="E152" s="1">
        <v>4.5</v>
      </c>
      <c r="F152" s="1">
        <v>0</v>
      </c>
      <c r="G152" s="1">
        <v>58</v>
      </c>
      <c r="H152" s="1">
        <v>2</v>
      </c>
      <c r="I152" s="1">
        <v>0</v>
      </c>
      <c r="J152" s="1">
        <v>0</v>
      </c>
      <c r="K152" s="1">
        <v>0</v>
      </c>
      <c r="L152" s="1">
        <v>12.89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>
      <c r="A153" s="1" t="s">
        <v>317</v>
      </c>
      <c r="B153" s="1" t="s">
        <v>0</v>
      </c>
      <c r="C153" s="1" t="s">
        <v>169</v>
      </c>
      <c r="D153" s="1" t="s">
        <v>189</v>
      </c>
      <c r="E153" s="1">
        <v>8.5</v>
      </c>
      <c r="F153" s="1">
        <v>0</v>
      </c>
      <c r="G153" s="1">
        <v>116</v>
      </c>
      <c r="H153" s="1">
        <v>2</v>
      </c>
      <c r="I153" s="1">
        <v>0</v>
      </c>
      <c r="J153" s="1">
        <v>0</v>
      </c>
      <c r="K153" s="1">
        <v>0</v>
      </c>
      <c r="L153" s="1">
        <v>13.65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</row>
    <row r="154" spans="1:19">
      <c r="A154" s="1" t="s">
        <v>318</v>
      </c>
      <c r="B154" s="1" t="s">
        <v>38</v>
      </c>
      <c r="C154" s="1" t="s">
        <v>161</v>
      </c>
      <c r="D154" s="1" t="s">
        <v>172</v>
      </c>
      <c r="E154" s="1">
        <v>4.5</v>
      </c>
      <c r="F154" s="1">
        <v>0</v>
      </c>
      <c r="G154" s="1">
        <v>60</v>
      </c>
      <c r="H154" s="1">
        <v>1</v>
      </c>
      <c r="I154" s="1">
        <v>0</v>
      </c>
      <c r="J154" s="1">
        <v>0</v>
      </c>
      <c r="K154" s="1">
        <v>0</v>
      </c>
      <c r="L154" s="1">
        <v>13.33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</row>
    <row r="155" spans="1:19">
      <c r="A155" s="1" t="s">
        <v>319</v>
      </c>
      <c r="B155" s="1" t="s">
        <v>15</v>
      </c>
      <c r="C155" s="1" t="s">
        <v>161</v>
      </c>
      <c r="D155" s="1" t="s">
        <v>162</v>
      </c>
      <c r="E155" s="1">
        <v>4.5</v>
      </c>
      <c r="F155" s="1">
        <v>0</v>
      </c>
      <c r="G155" s="1">
        <v>63</v>
      </c>
      <c r="H155" s="1">
        <v>1</v>
      </c>
      <c r="I155" s="1">
        <v>0</v>
      </c>
      <c r="J155" s="1">
        <v>0</v>
      </c>
      <c r="K155" s="1">
        <v>0</v>
      </c>
      <c r="L155" s="1">
        <v>14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</row>
    <row r="156" spans="1:19">
      <c r="A156" s="1" t="s">
        <v>320</v>
      </c>
      <c r="B156" s="1" t="s">
        <v>26</v>
      </c>
      <c r="C156" s="1" t="s">
        <v>161</v>
      </c>
      <c r="D156" s="1" t="s">
        <v>162</v>
      </c>
      <c r="E156" s="1">
        <v>4.5</v>
      </c>
      <c r="F156" s="1">
        <v>0</v>
      </c>
      <c r="G156" s="1">
        <v>72</v>
      </c>
      <c r="H156" s="1">
        <v>1</v>
      </c>
      <c r="I156" s="1">
        <v>0</v>
      </c>
      <c r="J156" s="1">
        <v>0</v>
      </c>
      <c r="K156" s="1">
        <v>0</v>
      </c>
      <c r="L156" s="1">
        <v>16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</row>
    <row r="157" spans="1:19">
      <c r="A157" s="1" t="s">
        <v>208</v>
      </c>
      <c r="B157" s="1" t="s">
        <v>38</v>
      </c>
      <c r="C157" s="1" t="s">
        <v>169</v>
      </c>
      <c r="D157" s="1" t="s">
        <v>172</v>
      </c>
      <c r="E157" s="1">
        <v>4.5</v>
      </c>
      <c r="F157" s="1">
        <v>0</v>
      </c>
      <c r="G157" s="1">
        <v>52</v>
      </c>
      <c r="H157" s="1">
        <v>1</v>
      </c>
      <c r="I157" s="1">
        <v>0</v>
      </c>
      <c r="J157" s="1">
        <v>0</v>
      </c>
      <c r="K157" s="1">
        <v>0</v>
      </c>
      <c r="L157" s="1">
        <v>11.56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</row>
    <row r="158" spans="1:19">
      <c r="A158" s="1" t="s">
        <v>321</v>
      </c>
      <c r="B158" s="1" t="s">
        <v>34</v>
      </c>
      <c r="C158" s="1" t="s">
        <v>169</v>
      </c>
      <c r="D158" s="1" t="s">
        <v>172</v>
      </c>
      <c r="E158" s="1">
        <v>5.5</v>
      </c>
      <c r="F158" s="1">
        <v>0</v>
      </c>
      <c r="G158" s="1">
        <v>91</v>
      </c>
      <c r="H158" s="1">
        <v>1</v>
      </c>
      <c r="I158" s="1">
        <v>0</v>
      </c>
      <c r="J158" s="1">
        <v>0</v>
      </c>
      <c r="K158" s="1">
        <v>0</v>
      </c>
      <c r="L158" s="1">
        <v>16.55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</row>
    <row r="159" spans="1:19">
      <c r="A159" s="1" t="s">
        <v>322</v>
      </c>
      <c r="B159" s="1" t="s">
        <v>3</v>
      </c>
      <c r="C159" s="1" t="s">
        <v>161</v>
      </c>
      <c r="D159" s="1" t="s">
        <v>162</v>
      </c>
      <c r="E159" s="1">
        <v>4.5</v>
      </c>
      <c r="F159" s="1">
        <v>0</v>
      </c>
      <c r="G159" s="1">
        <v>75</v>
      </c>
      <c r="H159" s="1">
        <v>1</v>
      </c>
      <c r="I159" s="1">
        <v>0</v>
      </c>
      <c r="J159" s="1">
        <v>0</v>
      </c>
      <c r="K159" s="1">
        <v>0</v>
      </c>
      <c r="L159" s="1">
        <v>16.670000000000002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</row>
    <row r="160" spans="1:19">
      <c r="A160" s="1" t="s">
        <v>323</v>
      </c>
      <c r="B160" s="1" t="s">
        <v>20</v>
      </c>
      <c r="C160" s="1" t="s">
        <v>169</v>
      </c>
      <c r="D160" s="1" t="s">
        <v>172</v>
      </c>
      <c r="E160" s="1">
        <v>6</v>
      </c>
      <c r="F160" s="1">
        <v>0</v>
      </c>
      <c r="G160" s="1">
        <v>67</v>
      </c>
      <c r="H160" s="1">
        <v>1</v>
      </c>
      <c r="I160" s="1">
        <v>0</v>
      </c>
      <c r="J160" s="1">
        <v>0</v>
      </c>
      <c r="K160" s="1">
        <v>0</v>
      </c>
      <c r="L160" s="1">
        <v>11.17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>
      <c r="A161" s="1" t="s">
        <v>324</v>
      </c>
      <c r="B161" s="1" t="s">
        <v>10</v>
      </c>
      <c r="C161" s="1" t="s">
        <v>169</v>
      </c>
      <c r="D161" s="1" t="s">
        <v>172</v>
      </c>
      <c r="E161" s="1">
        <v>6.5</v>
      </c>
      <c r="F161" s="1">
        <v>0</v>
      </c>
      <c r="G161" s="1">
        <v>75</v>
      </c>
      <c r="H161" s="1">
        <v>1</v>
      </c>
      <c r="I161" s="1">
        <v>0</v>
      </c>
      <c r="J161" s="1">
        <v>0</v>
      </c>
      <c r="K161" s="1">
        <v>0</v>
      </c>
      <c r="L161" s="1">
        <v>11.54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</row>
    <row r="162" spans="1:19">
      <c r="A162" s="1" t="s">
        <v>325</v>
      </c>
      <c r="B162" s="1" t="s">
        <v>20</v>
      </c>
      <c r="C162" s="1" t="s">
        <v>169</v>
      </c>
      <c r="D162" s="1" t="s">
        <v>172</v>
      </c>
      <c r="E162" s="1">
        <v>6.5</v>
      </c>
      <c r="F162" s="1">
        <v>0</v>
      </c>
      <c r="G162" s="1">
        <v>71</v>
      </c>
      <c r="H162" s="1">
        <v>1</v>
      </c>
      <c r="I162" s="1">
        <v>0</v>
      </c>
      <c r="J162" s="1">
        <v>0</v>
      </c>
      <c r="K162" s="1">
        <v>0</v>
      </c>
      <c r="L162" s="1">
        <v>10.92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</row>
    <row r="163" spans="1:19">
      <c r="A163" s="1" t="s">
        <v>326</v>
      </c>
      <c r="B163" s="1" t="s">
        <v>15</v>
      </c>
      <c r="C163" s="1" t="s">
        <v>169</v>
      </c>
      <c r="D163" s="1" t="s">
        <v>162</v>
      </c>
      <c r="E163" s="1">
        <v>5</v>
      </c>
      <c r="F163" s="1">
        <v>0</v>
      </c>
      <c r="G163" s="1">
        <v>81</v>
      </c>
      <c r="H163" s="1">
        <v>1</v>
      </c>
      <c r="I163" s="1">
        <v>0</v>
      </c>
      <c r="J163" s="1">
        <v>0</v>
      </c>
      <c r="K163" s="1">
        <v>0</v>
      </c>
      <c r="L163" s="1">
        <v>16.2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</row>
    <row r="164" spans="1:19">
      <c r="A164" s="1" t="s">
        <v>327</v>
      </c>
      <c r="B164" s="1" t="s">
        <v>5</v>
      </c>
      <c r="C164" s="1" t="s">
        <v>169</v>
      </c>
      <c r="D164" s="1" t="s">
        <v>162</v>
      </c>
      <c r="E164" s="1">
        <v>6</v>
      </c>
      <c r="F164" s="1">
        <v>0</v>
      </c>
      <c r="G164" s="1">
        <v>84</v>
      </c>
      <c r="H164" s="1">
        <v>1</v>
      </c>
      <c r="I164" s="1">
        <v>0</v>
      </c>
      <c r="J164" s="1">
        <v>0</v>
      </c>
      <c r="K164" s="1">
        <v>0</v>
      </c>
      <c r="L164" s="1">
        <v>14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</row>
    <row r="165" spans="1:19">
      <c r="A165" s="1" t="s">
        <v>328</v>
      </c>
      <c r="B165" s="1" t="s">
        <v>26</v>
      </c>
      <c r="C165" s="1" t="s">
        <v>169</v>
      </c>
      <c r="D165" s="1" t="s">
        <v>162</v>
      </c>
      <c r="E165" s="1">
        <v>4.5</v>
      </c>
      <c r="F165" s="1">
        <v>0</v>
      </c>
      <c r="G165" s="1">
        <v>49</v>
      </c>
      <c r="H165" s="1">
        <v>1</v>
      </c>
      <c r="I165" s="1">
        <v>0</v>
      </c>
      <c r="J165" s="1">
        <v>0</v>
      </c>
      <c r="K165" s="1">
        <v>0</v>
      </c>
      <c r="L165" s="1">
        <v>10.89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</row>
    <row r="166" spans="1:19">
      <c r="A166" s="1" t="s">
        <v>329</v>
      </c>
      <c r="B166" s="1" t="s">
        <v>26</v>
      </c>
      <c r="C166" s="1" t="s">
        <v>161</v>
      </c>
      <c r="D166" s="1" t="s">
        <v>162</v>
      </c>
      <c r="E166" s="1">
        <v>4.5</v>
      </c>
      <c r="F166" s="1">
        <v>0</v>
      </c>
      <c r="G166" s="1">
        <v>44</v>
      </c>
      <c r="H166" s="1">
        <v>1</v>
      </c>
      <c r="I166" s="1">
        <v>0</v>
      </c>
      <c r="J166" s="1">
        <v>0</v>
      </c>
      <c r="K166" s="1">
        <v>0</v>
      </c>
      <c r="L166" s="1">
        <v>9.7799999999999994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</row>
    <row r="167" spans="1:19">
      <c r="A167" s="1" t="s">
        <v>330</v>
      </c>
      <c r="B167" s="1" t="s">
        <v>1</v>
      </c>
      <c r="C167" s="1" t="s">
        <v>161</v>
      </c>
      <c r="D167" s="1" t="s">
        <v>162</v>
      </c>
      <c r="E167" s="1">
        <v>4.5</v>
      </c>
      <c r="F167" s="1">
        <v>0</v>
      </c>
      <c r="G167" s="1">
        <v>54</v>
      </c>
      <c r="H167" s="1">
        <v>1</v>
      </c>
      <c r="I167" s="1">
        <v>0</v>
      </c>
      <c r="J167" s="1">
        <v>0</v>
      </c>
      <c r="K167" s="1">
        <v>0</v>
      </c>
      <c r="L167" s="1">
        <v>12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</row>
    <row r="168" spans="1:19">
      <c r="A168" s="1" t="s">
        <v>331</v>
      </c>
      <c r="B168" s="1" t="s">
        <v>17</v>
      </c>
      <c r="C168" s="1" t="s">
        <v>169</v>
      </c>
      <c r="D168" s="1" t="s">
        <v>162</v>
      </c>
      <c r="E168" s="1">
        <v>5</v>
      </c>
      <c r="F168" s="1">
        <v>0</v>
      </c>
      <c r="G168" s="1">
        <v>67</v>
      </c>
      <c r="H168" s="1">
        <v>1</v>
      </c>
      <c r="I168" s="1">
        <v>0</v>
      </c>
      <c r="J168" s="1">
        <v>0</v>
      </c>
      <c r="K168" s="1">
        <v>0</v>
      </c>
      <c r="L168" s="1">
        <v>13.4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</row>
    <row r="169" spans="1:19">
      <c r="A169" s="1" t="s">
        <v>332</v>
      </c>
      <c r="B169" s="1" t="s">
        <v>8</v>
      </c>
      <c r="C169" s="1" t="s">
        <v>161</v>
      </c>
      <c r="D169" s="1" t="s">
        <v>162</v>
      </c>
      <c r="E169" s="1">
        <v>6</v>
      </c>
      <c r="F169" s="1">
        <v>0</v>
      </c>
      <c r="G169" s="1">
        <v>91</v>
      </c>
      <c r="H169" s="1">
        <v>1</v>
      </c>
      <c r="I169" s="1">
        <v>0</v>
      </c>
      <c r="J169" s="1">
        <v>0</v>
      </c>
      <c r="K169" s="1">
        <v>0</v>
      </c>
      <c r="L169" s="1">
        <v>15.17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</row>
    <row r="170" spans="1:19">
      <c r="A170" s="1" t="s">
        <v>333</v>
      </c>
      <c r="B170" s="1" t="s">
        <v>8</v>
      </c>
      <c r="C170" s="1" t="s">
        <v>161</v>
      </c>
      <c r="D170" s="1" t="s">
        <v>162</v>
      </c>
      <c r="E170" s="1">
        <v>5.5</v>
      </c>
      <c r="F170" s="1">
        <v>0</v>
      </c>
      <c r="G170" s="1">
        <v>73</v>
      </c>
      <c r="H170" s="1">
        <v>1</v>
      </c>
      <c r="I170" s="1">
        <v>0</v>
      </c>
      <c r="J170" s="1">
        <v>0</v>
      </c>
      <c r="K170" s="1">
        <v>0</v>
      </c>
      <c r="L170" s="1">
        <v>13.27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</row>
    <row r="171" spans="1:19">
      <c r="A171" s="1" t="s">
        <v>334</v>
      </c>
      <c r="B171" s="1" t="s">
        <v>8</v>
      </c>
      <c r="C171" s="1" t="s">
        <v>169</v>
      </c>
      <c r="D171" s="1" t="s">
        <v>162</v>
      </c>
      <c r="E171" s="1">
        <v>7</v>
      </c>
      <c r="F171" s="1">
        <v>0</v>
      </c>
      <c r="G171" s="1">
        <v>98</v>
      </c>
      <c r="H171" s="1">
        <v>1</v>
      </c>
      <c r="I171" s="1">
        <v>0</v>
      </c>
      <c r="J171" s="1">
        <v>0</v>
      </c>
      <c r="K171" s="1">
        <v>0</v>
      </c>
      <c r="L171" s="1">
        <v>14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</row>
    <row r="172" spans="1:19">
      <c r="A172" s="1" t="s">
        <v>335</v>
      </c>
      <c r="B172" s="1" t="s">
        <v>28</v>
      </c>
      <c r="C172" s="1" t="s">
        <v>169</v>
      </c>
      <c r="D172" s="1" t="s">
        <v>172</v>
      </c>
      <c r="E172" s="1">
        <v>5</v>
      </c>
      <c r="F172" s="1">
        <v>0</v>
      </c>
      <c r="G172" s="1">
        <v>85</v>
      </c>
      <c r="H172" s="1">
        <v>1</v>
      </c>
      <c r="I172" s="1">
        <v>0</v>
      </c>
      <c r="J172" s="1">
        <v>0</v>
      </c>
      <c r="K172" s="1">
        <v>0</v>
      </c>
      <c r="L172" s="1">
        <v>17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</row>
    <row r="173" spans="1:19">
      <c r="A173" s="1" t="s">
        <v>336</v>
      </c>
      <c r="B173" s="1" t="s">
        <v>0</v>
      </c>
      <c r="C173" s="1" t="s">
        <v>181</v>
      </c>
      <c r="D173" s="1" t="s">
        <v>189</v>
      </c>
      <c r="E173" s="1">
        <v>9</v>
      </c>
      <c r="F173" s="1">
        <v>0</v>
      </c>
      <c r="G173" s="1">
        <v>120</v>
      </c>
      <c r="H173" s="1">
        <v>1</v>
      </c>
      <c r="I173" s="1">
        <v>0</v>
      </c>
      <c r="J173" s="1">
        <v>0</v>
      </c>
      <c r="K173" s="1">
        <v>0</v>
      </c>
      <c r="L173" s="1">
        <v>13.33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</row>
    <row r="174" spans="1:19">
      <c r="A174" s="1" t="s">
        <v>337</v>
      </c>
      <c r="B174" s="1" t="s">
        <v>0</v>
      </c>
      <c r="C174" s="1" t="s">
        <v>169</v>
      </c>
      <c r="D174" s="1" t="s">
        <v>189</v>
      </c>
      <c r="E174" s="1">
        <v>8.5</v>
      </c>
      <c r="F174" s="1">
        <v>0</v>
      </c>
      <c r="G174" s="1">
        <v>103</v>
      </c>
      <c r="H174" s="1">
        <v>1</v>
      </c>
      <c r="I174" s="1">
        <v>0</v>
      </c>
      <c r="J174" s="1">
        <v>0</v>
      </c>
      <c r="K174" s="1">
        <v>0</v>
      </c>
      <c r="L174" s="1">
        <v>12.12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</row>
    <row r="175" spans="1:19">
      <c r="A175" s="1" t="s">
        <v>338</v>
      </c>
      <c r="B175" s="1" t="s">
        <v>1</v>
      </c>
      <c r="C175" s="1" t="s">
        <v>161</v>
      </c>
      <c r="D175" s="1" t="s">
        <v>162</v>
      </c>
      <c r="E175" s="1">
        <v>5</v>
      </c>
      <c r="F175" s="1">
        <v>0</v>
      </c>
      <c r="G175" s="1">
        <v>72</v>
      </c>
      <c r="H175" s="1">
        <v>1</v>
      </c>
      <c r="I175" s="1">
        <v>0</v>
      </c>
      <c r="J175" s="1">
        <v>0</v>
      </c>
      <c r="K175" s="1">
        <v>0</v>
      </c>
      <c r="L175" s="1">
        <v>14.4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</row>
    <row r="176" spans="1:19">
      <c r="A176" s="1" t="s">
        <v>339</v>
      </c>
      <c r="B176" s="1" t="s">
        <v>8</v>
      </c>
      <c r="C176" s="1" t="s">
        <v>169</v>
      </c>
      <c r="D176" s="1" t="s">
        <v>162</v>
      </c>
      <c r="E176" s="1">
        <v>6.5</v>
      </c>
      <c r="F176" s="1">
        <v>0</v>
      </c>
      <c r="G176" s="1">
        <v>89</v>
      </c>
      <c r="H176" s="1">
        <v>1</v>
      </c>
      <c r="I176" s="1">
        <v>0</v>
      </c>
      <c r="J176" s="1">
        <v>0</v>
      </c>
      <c r="K176" s="1">
        <v>0</v>
      </c>
      <c r="L176" s="1">
        <v>13.69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>
      <c r="A177" s="1" t="s">
        <v>340</v>
      </c>
      <c r="B177" s="1" t="s">
        <v>28</v>
      </c>
      <c r="C177" s="1" t="s">
        <v>169</v>
      </c>
      <c r="D177" s="1" t="s">
        <v>172</v>
      </c>
      <c r="E177" s="1">
        <v>5</v>
      </c>
      <c r="F177" s="1">
        <v>0</v>
      </c>
      <c r="G177" s="1">
        <v>74</v>
      </c>
      <c r="H177" s="1">
        <v>1</v>
      </c>
      <c r="I177" s="1">
        <v>0</v>
      </c>
      <c r="J177" s="1">
        <v>0</v>
      </c>
      <c r="K177" s="1">
        <v>0</v>
      </c>
      <c r="L177" s="1">
        <v>14.8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</row>
    <row r="178" spans="1:19">
      <c r="A178" s="1" t="s">
        <v>341</v>
      </c>
      <c r="B178" s="1" t="s">
        <v>15</v>
      </c>
      <c r="C178" s="1" t="s">
        <v>181</v>
      </c>
      <c r="D178" s="1" t="s">
        <v>162</v>
      </c>
      <c r="E178" s="1">
        <v>5</v>
      </c>
      <c r="F178" s="1">
        <v>0</v>
      </c>
      <c r="G178" s="1">
        <v>76</v>
      </c>
      <c r="H178" s="1">
        <v>1</v>
      </c>
      <c r="I178" s="1">
        <v>0</v>
      </c>
      <c r="J178" s="1">
        <v>0</v>
      </c>
      <c r="K178" s="1">
        <v>0</v>
      </c>
      <c r="L178" s="1">
        <v>15.2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</row>
    <row r="179" spans="1:19">
      <c r="A179" s="1" t="s">
        <v>342</v>
      </c>
      <c r="B179" s="1" t="s">
        <v>3</v>
      </c>
      <c r="C179" s="1" t="s">
        <v>169</v>
      </c>
      <c r="D179" s="1" t="s">
        <v>162</v>
      </c>
      <c r="E179" s="1">
        <v>7.5</v>
      </c>
      <c r="F179" s="1">
        <v>0</v>
      </c>
      <c r="G179" s="1">
        <v>93</v>
      </c>
      <c r="H179" s="1">
        <v>1</v>
      </c>
      <c r="I179" s="1">
        <v>0</v>
      </c>
      <c r="J179" s="1">
        <v>0</v>
      </c>
      <c r="K179" s="1">
        <v>0</v>
      </c>
      <c r="L179" s="1">
        <v>12.4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</row>
    <row r="180" spans="1:19">
      <c r="A180" s="1" t="s">
        <v>343</v>
      </c>
      <c r="B180" s="1" t="s">
        <v>12</v>
      </c>
      <c r="C180" s="1" t="s">
        <v>161</v>
      </c>
      <c r="D180" s="1" t="s">
        <v>162</v>
      </c>
      <c r="E180" s="1">
        <v>5</v>
      </c>
      <c r="F180" s="1">
        <v>0</v>
      </c>
      <c r="G180" s="1">
        <v>50</v>
      </c>
      <c r="H180" s="1">
        <v>1</v>
      </c>
      <c r="I180" s="1">
        <v>0</v>
      </c>
      <c r="J180" s="1">
        <v>0</v>
      </c>
      <c r="K180" s="1">
        <v>0</v>
      </c>
      <c r="L180" s="1">
        <v>10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</row>
    <row r="181" spans="1:19">
      <c r="A181" s="1" t="s">
        <v>344</v>
      </c>
      <c r="B181" s="1" t="s">
        <v>8</v>
      </c>
      <c r="C181" s="1" t="s">
        <v>161</v>
      </c>
      <c r="D181" s="1" t="s">
        <v>162</v>
      </c>
      <c r="E181" s="1">
        <v>5.5</v>
      </c>
      <c r="F181" s="1">
        <v>0</v>
      </c>
      <c r="G181" s="1">
        <v>64</v>
      </c>
      <c r="H181" s="1">
        <v>1</v>
      </c>
      <c r="I181" s="1">
        <v>0</v>
      </c>
      <c r="J181" s="1">
        <v>0</v>
      </c>
      <c r="K181" s="1">
        <v>0</v>
      </c>
      <c r="L181" s="1">
        <v>11.64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</row>
    <row r="182" spans="1:19">
      <c r="A182" s="1" t="s">
        <v>345</v>
      </c>
      <c r="B182" s="1" t="s">
        <v>30</v>
      </c>
      <c r="C182" s="1" t="s">
        <v>169</v>
      </c>
      <c r="D182" s="1" t="s">
        <v>172</v>
      </c>
      <c r="E182" s="1">
        <v>5.5</v>
      </c>
      <c r="F182" s="1">
        <v>0</v>
      </c>
      <c r="G182" s="1">
        <v>67</v>
      </c>
      <c r="H182" s="1">
        <v>1</v>
      </c>
      <c r="I182" s="1">
        <v>0</v>
      </c>
      <c r="J182" s="1">
        <v>0</v>
      </c>
      <c r="K182" s="1">
        <v>0</v>
      </c>
      <c r="L182" s="1">
        <v>12.18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</row>
    <row r="183" spans="1:19">
      <c r="A183" s="1" t="s">
        <v>346</v>
      </c>
      <c r="B183" s="1" t="s">
        <v>1</v>
      </c>
      <c r="C183" s="1" t="s">
        <v>181</v>
      </c>
      <c r="D183" s="1" t="s">
        <v>162</v>
      </c>
      <c r="E183" s="1">
        <v>6.5</v>
      </c>
      <c r="F183" s="1">
        <v>0</v>
      </c>
      <c r="G183" s="1">
        <v>98</v>
      </c>
      <c r="H183" s="1">
        <v>1</v>
      </c>
      <c r="I183" s="1">
        <v>0</v>
      </c>
      <c r="J183" s="1">
        <v>0</v>
      </c>
      <c r="K183" s="1">
        <v>0</v>
      </c>
      <c r="L183" s="1">
        <v>15.08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</row>
    <row r="184" spans="1:19">
      <c r="A184" s="1" t="s">
        <v>347</v>
      </c>
      <c r="B184" s="1" t="s">
        <v>3</v>
      </c>
      <c r="C184" s="1" t="s">
        <v>169</v>
      </c>
      <c r="D184" s="1" t="s">
        <v>162</v>
      </c>
      <c r="E184" s="1">
        <v>7</v>
      </c>
      <c r="F184" s="1">
        <v>0</v>
      </c>
      <c r="G184" s="1">
        <v>107</v>
      </c>
      <c r="H184" s="1">
        <v>1</v>
      </c>
      <c r="I184" s="1">
        <v>0</v>
      </c>
      <c r="J184" s="1">
        <v>0</v>
      </c>
      <c r="K184" s="1">
        <v>0</v>
      </c>
      <c r="L184" s="1">
        <v>15.29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</row>
    <row r="185" spans="1:19">
      <c r="A185" s="1" t="s">
        <v>348</v>
      </c>
      <c r="B185" s="1" t="s">
        <v>1</v>
      </c>
      <c r="C185" s="1" t="s">
        <v>169</v>
      </c>
      <c r="D185" s="1" t="s">
        <v>162</v>
      </c>
      <c r="E185" s="1">
        <v>5.5</v>
      </c>
      <c r="F185" s="1">
        <v>0</v>
      </c>
      <c r="G185" s="1">
        <v>62</v>
      </c>
      <c r="H185" s="1">
        <v>1</v>
      </c>
      <c r="I185" s="1">
        <v>0</v>
      </c>
      <c r="J185" s="1">
        <v>0</v>
      </c>
      <c r="K185" s="1">
        <v>0</v>
      </c>
      <c r="L185" s="1">
        <v>11.27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</row>
    <row r="186" spans="1:19">
      <c r="A186" s="1" t="s">
        <v>341</v>
      </c>
      <c r="B186" s="1" t="s">
        <v>30</v>
      </c>
      <c r="C186" s="1" t="s">
        <v>169</v>
      </c>
      <c r="D186" s="1" t="s">
        <v>172</v>
      </c>
      <c r="E186" s="1">
        <v>4.5</v>
      </c>
      <c r="F186" s="1">
        <v>0</v>
      </c>
      <c r="G186" s="1">
        <v>55</v>
      </c>
      <c r="H186" s="1">
        <v>1</v>
      </c>
      <c r="I186" s="1">
        <v>0</v>
      </c>
      <c r="J186" s="1">
        <v>0</v>
      </c>
      <c r="K186" s="1">
        <v>0</v>
      </c>
      <c r="L186" s="1">
        <v>12.22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</row>
    <row r="187" spans="1:19">
      <c r="A187" s="1" t="s">
        <v>349</v>
      </c>
      <c r="B187" s="1" t="s">
        <v>26</v>
      </c>
      <c r="C187" s="1" t="s">
        <v>181</v>
      </c>
      <c r="D187" s="1" t="s">
        <v>162</v>
      </c>
      <c r="E187" s="1">
        <v>5.5</v>
      </c>
      <c r="F187" s="1">
        <v>0</v>
      </c>
      <c r="G187" s="1">
        <v>70</v>
      </c>
      <c r="H187" s="1">
        <v>1</v>
      </c>
      <c r="I187" s="1">
        <v>0</v>
      </c>
      <c r="J187" s="1">
        <v>0</v>
      </c>
      <c r="K187" s="1">
        <v>0</v>
      </c>
      <c r="L187" s="1">
        <v>12.73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</row>
    <row r="188" spans="1:19">
      <c r="A188" s="1" t="s">
        <v>350</v>
      </c>
      <c r="B188" s="1" t="s">
        <v>0</v>
      </c>
      <c r="C188" s="1" t="s">
        <v>181</v>
      </c>
      <c r="D188" s="1" t="s">
        <v>189</v>
      </c>
      <c r="E188" s="1">
        <v>7.5</v>
      </c>
      <c r="F188" s="1">
        <v>0</v>
      </c>
      <c r="G188" s="1">
        <v>89</v>
      </c>
      <c r="H188" s="1">
        <v>1</v>
      </c>
      <c r="I188" s="1">
        <v>0</v>
      </c>
      <c r="J188" s="1">
        <v>0</v>
      </c>
      <c r="K188" s="1">
        <v>0</v>
      </c>
      <c r="L188" s="1">
        <v>11.87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>
      <c r="A189" s="1" t="s">
        <v>351</v>
      </c>
      <c r="B189" s="1" t="s">
        <v>24</v>
      </c>
      <c r="C189" s="1" t="s">
        <v>161</v>
      </c>
      <c r="D189" s="1" t="s">
        <v>162</v>
      </c>
      <c r="E189" s="1">
        <v>4.5</v>
      </c>
      <c r="F189" s="1">
        <v>0</v>
      </c>
      <c r="G189" s="1">
        <v>73</v>
      </c>
      <c r="H189" s="1">
        <v>1</v>
      </c>
      <c r="I189" s="1">
        <v>0</v>
      </c>
      <c r="J189" s="1">
        <v>0</v>
      </c>
      <c r="K189" s="1">
        <v>0</v>
      </c>
      <c r="L189" s="1">
        <v>16.22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</row>
    <row r="190" spans="1:19">
      <c r="A190" s="1" t="s">
        <v>352</v>
      </c>
      <c r="B190" s="1" t="s">
        <v>5</v>
      </c>
      <c r="C190" s="1" t="s">
        <v>181</v>
      </c>
      <c r="D190" s="1" t="s">
        <v>162</v>
      </c>
      <c r="E190" s="1">
        <v>6</v>
      </c>
      <c r="F190" s="1">
        <v>0</v>
      </c>
      <c r="G190" s="1">
        <v>101</v>
      </c>
      <c r="H190" s="1">
        <v>1</v>
      </c>
      <c r="I190" s="1">
        <v>0</v>
      </c>
      <c r="J190" s="1">
        <v>0</v>
      </c>
      <c r="K190" s="1">
        <v>0</v>
      </c>
      <c r="L190" s="1">
        <v>16.829999999999998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</row>
    <row r="191" spans="1:19">
      <c r="A191" s="1" t="s">
        <v>353</v>
      </c>
      <c r="B191" s="1" t="s">
        <v>0</v>
      </c>
      <c r="C191" s="1" t="s">
        <v>169</v>
      </c>
      <c r="D191" s="1" t="s">
        <v>189</v>
      </c>
      <c r="E191" s="1">
        <v>4.5</v>
      </c>
      <c r="F191" s="1">
        <v>0</v>
      </c>
      <c r="G191" s="1">
        <v>45</v>
      </c>
      <c r="H191" s="1">
        <v>1</v>
      </c>
      <c r="I191" s="1">
        <v>0</v>
      </c>
      <c r="J191" s="1">
        <v>0</v>
      </c>
      <c r="K191" s="1">
        <v>0</v>
      </c>
      <c r="L191" s="1">
        <v>10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</row>
    <row r="192" spans="1:19">
      <c r="A192" s="1" t="s">
        <v>354</v>
      </c>
      <c r="B192" s="1" t="s">
        <v>0</v>
      </c>
      <c r="C192" s="1" t="s">
        <v>161</v>
      </c>
      <c r="D192" s="1" t="s">
        <v>189</v>
      </c>
      <c r="E192" s="1">
        <v>5.5</v>
      </c>
      <c r="F192" s="1">
        <v>0</v>
      </c>
      <c r="G192" s="1">
        <v>76</v>
      </c>
      <c r="H192" s="1">
        <v>1</v>
      </c>
      <c r="I192" s="1">
        <v>0</v>
      </c>
      <c r="J192" s="1">
        <v>0</v>
      </c>
      <c r="K192" s="1">
        <v>0</v>
      </c>
      <c r="L192" s="1">
        <v>13.82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</row>
    <row r="193" spans="1:19">
      <c r="A193" s="1" t="s">
        <v>355</v>
      </c>
      <c r="B193" s="1" t="s">
        <v>28</v>
      </c>
      <c r="C193" s="1" t="s">
        <v>181</v>
      </c>
      <c r="D193" s="1" t="s">
        <v>172</v>
      </c>
      <c r="E193" s="1">
        <v>7</v>
      </c>
      <c r="F193" s="1">
        <v>0</v>
      </c>
      <c r="G193" s="1">
        <v>84</v>
      </c>
      <c r="H193" s="1">
        <v>1</v>
      </c>
      <c r="I193" s="1">
        <v>0</v>
      </c>
      <c r="J193" s="1">
        <v>0</v>
      </c>
      <c r="K193" s="1">
        <v>0</v>
      </c>
      <c r="L193" s="1">
        <v>12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</row>
    <row r="194" spans="1:19">
      <c r="A194" s="1" t="s">
        <v>356</v>
      </c>
      <c r="B194" s="1" t="s">
        <v>38</v>
      </c>
      <c r="C194" s="1" t="s">
        <v>161</v>
      </c>
      <c r="D194" s="1" t="s">
        <v>172</v>
      </c>
      <c r="E194" s="1">
        <v>4.5</v>
      </c>
      <c r="F194" s="1">
        <v>0</v>
      </c>
      <c r="G194" s="1">
        <v>56</v>
      </c>
      <c r="H194" s="1">
        <v>1</v>
      </c>
      <c r="I194" s="1">
        <v>0</v>
      </c>
      <c r="J194" s="1">
        <v>0</v>
      </c>
      <c r="K194" s="1">
        <v>0</v>
      </c>
      <c r="L194" s="1">
        <v>12.44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</row>
    <row r="195" spans="1:19">
      <c r="A195" s="1" t="s">
        <v>357</v>
      </c>
      <c r="B195" s="1" t="s">
        <v>8</v>
      </c>
      <c r="C195" s="1" t="s">
        <v>169</v>
      </c>
      <c r="D195" s="1" t="s">
        <v>162</v>
      </c>
      <c r="E195" s="1">
        <v>8.5</v>
      </c>
      <c r="F195" s="1">
        <v>0</v>
      </c>
      <c r="G195" s="1">
        <v>107</v>
      </c>
      <c r="H195" s="1">
        <v>1</v>
      </c>
      <c r="I195" s="1">
        <v>0</v>
      </c>
      <c r="J195" s="1">
        <v>0</v>
      </c>
      <c r="K195" s="1">
        <v>0</v>
      </c>
      <c r="L195" s="1">
        <v>12.59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</row>
    <row r="196" spans="1:19">
      <c r="A196" s="1" t="s">
        <v>358</v>
      </c>
      <c r="B196" s="1" t="s">
        <v>0</v>
      </c>
      <c r="C196" s="1" t="s">
        <v>167</v>
      </c>
      <c r="D196" s="1" t="s">
        <v>189</v>
      </c>
      <c r="E196" s="1">
        <v>5</v>
      </c>
      <c r="F196" s="1">
        <v>0</v>
      </c>
      <c r="G196" s="1">
        <v>76</v>
      </c>
      <c r="H196" s="1">
        <v>1</v>
      </c>
      <c r="I196" s="1">
        <v>0</v>
      </c>
      <c r="J196" s="1">
        <v>0</v>
      </c>
      <c r="K196" s="1">
        <v>0</v>
      </c>
      <c r="L196" s="1">
        <v>15.2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</row>
    <row r="197" spans="1:19">
      <c r="A197" s="1" t="s">
        <v>359</v>
      </c>
      <c r="B197" s="1" t="s">
        <v>17</v>
      </c>
      <c r="C197" s="1" t="s">
        <v>181</v>
      </c>
      <c r="D197" s="1" t="s">
        <v>162</v>
      </c>
      <c r="E197" s="1">
        <v>8.5</v>
      </c>
      <c r="F197" s="1">
        <v>0</v>
      </c>
      <c r="G197" s="1">
        <v>108</v>
      </c>
      <c r="H197" s="1">
        <v>1</v>
      </c>
      <c r="I197" s="1">
        <v>0</v>
      </c>
      <c r="J197" s="1">
        <v>0</v>
      </c>
      <c r="K197" s="1">
        <v>0</v>
      </c>
      <c r="L197" s="1">
        <v>12.71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</row>
    <row r="198" spans="1:19">
      <c r="A198" s="1" t="s">
        <v>360</v>
      </c>
      <c r="B198" s="1" t="s">
        <v>36</v>
      </c>
      <c r="C198" s="1" t="s">
        <v>169</v>
      </c>
      <c r="D198" s="1" t="s">
        <v>162</v>
      </c>
      <c r="E198" s="1">
        <v>5</v>
      </c>
      <c r="F198" s="1">
        <v>0</v>
      </c>
      <c r="G198" s="1">
        <v>57</v>
      </c>
      <c r="H198" s="1">
        <v>1</v>
      </c>
      <c r="I198" s="1">
        <v>0</v>
      </c>
      <c r="J198" s="1">
        <v>0</v>
      </c>
      <c r="K198" s="1">
        <v>0</v>
      </c>
      <c r="L198" s="1">
        <v>11.4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</row>
    <row r="199" spans="1:19">
      <c r="A199" s="1" t="s">
        <v>361</v>
      </c>
      <c r="B199" s="1" t="s">
        <v>28</v>
      </c>
      <c r="C199" s="1" t="s">
        <v>169</v>
      </c>
      <c r="D199" s="1" t="s">
        <v>172</v>
      </c>
      <c r="E199" s="1">
        <v>6</v>
      </c>
      <c r="F199" s="1">
        <v>0</v>
      </c>
      <c r="G199" s="1">
        <v>80</v>
      </c>
      <c r="H199" s="1">
        <v>1</v>
      </c>
      <c r="I199" s="1">
        <v>0</v>
      </c>
      <c r="J199" s="1">
        <v>0</v>
      </c>
      <c r="K199" s="1">
        <v>0</v>
      </c>
      <c r="L199" s="1">
        <v>13.33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</row>
    <row r="200" spans="1:19">
      <c r="A200" s="1" t="s">
        <v>362</v>
      </c>
      <c r="B200" s="1" t="s">
        <v>0</v>
      </c>
      <c r="C200" s="1" t="s">
        <v>161</v>
      </c>
      <c r="D200" s="1" t="s">
        <v>189</v>
      </c>
      <c r="E200" s="1">
        <v>5</v>
      </c>
      <c r="F200" s="1">
        <v>0</v>
      </c>
      <c r="G200" s="1">
        <v>68</v>
      </c>
      <c r="H200" s="1">
        <v>1</v>
      </c>
      <c r="I200" s="1">
        <v>0</v>
      </c>
      <c r="J200" s="1">
        <v>0</v>
      </c>
      <c r="K200" s="1">
        <v>0</v>
      </c>
      <c r="L200" s="1">
        <v>13.6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>
      <c r="A201" s="1" t="s">
        <v>363</v>
      </c>
      <c r="B201" s="1" t="s">
        <v>17</v>
      </c>
      <c r="C201" s="1" t="s">
        <v>169</v>
      </c>
      <c r="D201" s="1" t="s">
        <v>162</v>
      </c>
      <c r="E201" s="1">
        <v>7</v>
      </c>
      <c r="F201" s="1">
        <v>0</v>
      </c>
      <c r="G201" s="1">
        <v>78</v>
      </c>
      <c r="H201" s="1">
        <v>1</v>
      </c>
      <c r="I201" s="1">
        <v>0</v>
      </c>
      <c r="J201" s="1">
        <v>0</v>
      </c>
      <c r="K201" s="1">
        <v>0</v>
      </c>
      <c r="L201" s="1">
        <v>11.14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</row>
    <row r="202" spans="1:19">
      <c r="A202" s="1" t="s">
        <v>364</v>
      </c>
      <c r="B202" s="1" t="s">
        <v>0</v>
      </c>
      <c r="C202" s="1" t="s">
        <v>161</v>
      </c>
      <c r="D202" s="1" t="s">
        <v>189</v>
      </c>
      <c r="E202" s="1">
        <v>5.5</v>
      </c>
      <c r="F202" s="1">
        <v>0</v>
      </c>
      <c r="G202" s="1">
        <v>77</v>
      </c>
      <c r="H202" s="1">
        <v>1</v>
      </c>
      <c r="I202" s="1">
        <v>0</v>
      </c>
      <c r="J202" s="1">
        <v>0</v>
      </c>
      <c r="K202" s="1">
        <v>0</v>
      </c>
      <c r="L202" s="1">
        <v>14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</row>
    <row r="203" spans="1:19">
      <c r="A203" s="1" t="s">
        <v>365</v>
      </c>
      <c r="B203" s="1" t="s">
        <v>24</v>
      </c>
      <c r="C203" s="1" t="s">
        <v>181</v>
      </c>
      <c r="D203" s="1" t="s">
        <v>162</v>
      </c>
      <c r="E203" s="1">
        <v>6</v>
      </c>
      <c r="F203" s="1">
        <v>0</v>
      </c>
      <c r="G203" s="1">
        <v>89</v>
      </c>
      <c r="H203" s="1">
        <v>1</v>
      </c>
      <c r="I203" s="1">
        <v>0</v>
      </c>
      <c r="J203" s="1">
        <v>0</v>
      </c>
      <c r="K203" s="1">
        <v>0</v>
      </c>
      <c r="L203" s="1">
        <v>14.83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</row>
    <row r="204" spans="1:19">
      <c r="A204" s="1" t="s">
        <v>366</v>
      </c>
      <c r="B204" s="1" t="s">
        <v>5</v>
      </c>
      <c r="C204" s="1" t="s">
        <v>169</v>
      </c>
      <c r="D204" s="1" t="s">
        <v>162</v>
      </c>
      <c r="E204" s="1">
        <v>6</v>
      </c>
      <c r="F204" s="1">
        <v>0</v>
      </c>
      <c r="G204" s="1">
        <v>97</v>
      </c>
      <c r="H204" s="1">
        <v>1</v>
      </c>
      <c r="I204" s="1">
        <v>0</v>
      </c>
      <c r="J204" s="1">
        <v>0</v>
      </c>
      <c r="K204" s="1">
        <v>0</v>
      </c>
      <c r="L204" s="1">
        <v>16.170000000000002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</row>
    <row r="205" spans="1:19">
      <c r="A205" s="1" t="s">
        <v>367</v>
      </c>
      <c r="B205" s="1" t="s">
        <v>0</v>
      </c>
      <c r="C205" s="1" t="s">
        <v>167</v>
      </c>
      <c r="D205" s="1" t="s">
        <v>189</v>
      </c>
      <c r="E205" s="1">
        <v>5</v>
      </c>
      <c r="F205" s="1">
        <v>0</v>
      </c>
      <c r="G205" s="1">
        <v>47</v>
      </c>
      <c r="H205" s="1">
        <v>1</v>
      </c>
      <c r="I205" s="1">
        <v>0</v>
      </c>
      <c r="J205" s="1">
        <v>0</v>
      </c>
      <c r="K205" s="1">
        <v>0</v>
      </c>
      <c r="L205" s="1">
        <v>9.4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</row>
    <row r="206" spans="1:19">
      <c r="A206" s="1" t="s">
        <v>368</v>
      </c>
      <c r="B206" s="1" t="s">
        <v>0</v>
      </c>
      <c r="C206" s="1" t="s">
        <v>169</v>
      </c>
      <c r="D206" s="1" t="s">
        <v>189</v>
      </c>
      <c r="E206" s="1">
        <v>6</v>
      </c>
      <c r="F206" s="1">
        <v>0</v>
      </c>
      <c r="G206" s="1">
        <v>57</v>
      </c>
      <c r="H206" s="1">
        <v>1</v>
      </c>
      <c r="I206" s="1">
        <v>0</v>
      </c>
      <c r="J206" s="1">
        <v>0</v>
      </c>
      <c r="K206" s="1">
        <v>0</v>
      </c>
      <c r="L206" s="1">
        <v>9.5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</row>
    <row r="207" spans="1:19">
      <c r="A207" s="1" t="s">
        <v>369</v>
      </c>
      <c r="B207" s="1" t="s">
        <v>17</v>
      </c>
      <c r="C207" s="1" t="s">
        <v>161</v>
      </c>
      <c r="D207" s="1" t="s">
        <v>162</v>
      </c>
      <c r="E207" s="1">
        <v>5.5</v>
      </c>
      <c r="F207" s="1">
        <v>0</v>
      </c>
      <c r="G207" s="1">
        <v>92</v>
      </c>
      <c r="H207" s="1">
        <v>1</v>
      </c>
      <c r="I207" s="1">
        <v>0</v>
      </c>
      <c r="J207" s="1">
        <v>0</v>
      </c>
      <c r="K207" s="1">
        <v>0</v>
      </c>
      <c r="L207" s="1">
        <v>16.73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</row>
    <row r="208" spans="1:19">
      <c r="A208" s="1" t="s">
        <v>370</v>
      </c>
      <c r="B208" s="1" t="s">
        <v>26</v>
      </c>
      <c r="C208" s="1" t="s">
        <v>169</v>
      </c>
      <c r="D208" s="1" t="s">
        <v>162</v>
      </c>
      <c r="E208" s="1">
        <v>4.5</v>
      </c>
      <c r="F208" s="1">
        <v>0</v>
      </c>
      <c r="G208" s="1">
        <v>39</v>
      </c>
      <c r="H208" s="1">
        <v>1</v>
      </c>
      <c r="I208" s="1">
        <v>0</v>
      </c>
      <c r="J208" s="1">
        <v>0</v>
      </c>
      <c r="K208" s="1">
        <v>0</v>
      </c>
      <c r="L208" s="1">
        <v>8.67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</row>
    <row r="209" spans="1:19">
      <c r="A209" s="1" t="s">
        <v>371</v>
      </c>
      <c r="B209" s="1" t="s">
        <v>15</v>
      </c>
      <c r="C209" s="1" t="s">
        <v>169</v>
      </c>
      <c r="D209" s="1" t="s">
        <v>162</v>
      </c>
      <c r="E209" s="1">
        <v>5</v>
      </c>
      <c r="F209" s="1">
        <v>0</v>
      </c>
      <c r="G209" s="1">
        <v>55</v>
      </c>
      <c r="H209" s="1">
        <v>1</v>
      </c>
      <c r="I209" s="1">
        <v>0</v>
      </c>
      <c r="J209" s="1">
        <v>0</v>
      </c>
      <c r="K209" s="1">
        <v>0</v>
      </c>
      <c r="L209" s="1">
        <v>11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</row>
    <row r="210" spans="1:19">
      <c r="A210" s="1" t="s">
        <v>372</v>
      </c>
      <c r="B210" s="1" t="s">
        <v>24</v>
      </c>
      <c r="C210" s="1" t="s">
        <v>169</v>
      </c>
      <c r="D210" s="1" t="s">
        <v>162</v>
      </c>
      <c r="E210" s="1">
        <v>6</v>
      </c>
      <c r="F210" s="1">
        <v>0</v>
      </c>
      <c r="G210" s="1">
        <v>72</v>
      </c>
      <c r="H210" s="1">
        <v>1</v>
      </c>
      <c r="I210" s="1">
        <v>0</v>
      </c>
      <c r="J210" s="1">
        <v>0</v>
      </c>
      <c r="K210" s="1">
        <v>0</v>
      </c>
      <c r="L210" s="1">
        <v>12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</row>
    <row r="211" spans="1:19">
      <c r="A211" s="1" t="s">
        <v>373</v>
      </c>
      <c r="B211" s="1" t="s">
        <v>3</v>
      </c>
      <c r="C211" s="1" t="s">
        <v>169</v>
      </c>
      <c r="D211" s="1" t="s">
        <v>162</v>
      </c>
      <c r="E211" s="1">
        <v>5</v>
      </c>
      <c r="F211" s="1">
        <v>0</v>
      </c>
      <c r="G211" s="1">
        <v>55</v>
      </c>
      <c r="H211" s="1">
        <v>1</v>
      </c>
      <c r="I211" s="1">
        <v>0</v>
      </c>
      <c r="J211" s="1">
        <v>0</v>
      </c>
      <c r="K211" s="1">
        <v>0</v>
      </c>
      <c r="L211" s="1">
        <v>11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</row>
    <row r="212" spans="1:19">
      <c r="A212" s="1" t="s">
        <v>374</v>
      </c>
      <c r="B212" s="1" t="s">
        <v>0</v>
      </c>
      <c r="C212" s="1" t="s">
        <v>169</v>
      </c>
      <c r="D212" s="1" t="s">
        <v>189</v>
      </c>
      <c r="E212" s="1">
        <v>4.5</v>
      </c>
      <c r="F212" s="1">
        <v>0</v>
      </c>
      <c r="G212" s="1">
        <v>51</v>
      </c>
      <c r="H212" s="1">
        <v>1</v>
      </c>
      <c r="I212" s="1">
        <v>0</v>
      </c>
      <c r="J212" s="1">
        <v>0</v>
      </c>
      <c r="K212" s="1">
        <v>0</v>
      </c>
      <c r="L212" s="1">
        <v>11.33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</row>
    <row r="213" spans="1:19">
      <c r="A213" s="1" t="s">
        <v>375</v>
      </c>
      <c r="B213" s="1" t="s">
        <v>8</v>
      </c>
      <c r="C213" s="1" t="s">
        <v>169</v>
      </c>
      <c r="D213" s="1" t="s">
        <v>162</v>
      </c>
      <c r="E213" s="1">
        <v>5</v>
      </c>
      <c r="F213" s="1">
        <v>0</v>
      </c>
      <c r="G213" s="1">
        <v>57</v>
      </c>
      <c r="H213" s="1">
        <v>1</v>
      </c>
      <c r="I213" s="1">
        <v>0</v>
      </c>
      <c r="J213" s="1">
        <v>0</v>
      </c>
      <c r="K213" s="1">
        <v>0</v>
      </c>
      <c r="L213" s="1">
        <v>11.4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</row>
    <row r="214" spans="1:19">
      <c r="A214" s="1" t="s">
        <v>376</v>
      </c>
      <c r="B214" s="1" t="s">
        <v>15</v>
      </c>
      <c r="C214" s="1" t="s">
        <v>181</v>
      </c>
      <c r="D214" s="1" t="s">
        <v>162</v>
      </c>
      <c r="E214" s="1">
        <v>5.5</v>
      </c>
      <c r="F214" s="1">
        <v>0</v>
      </c>
      <c r="G214" s="1">
        <v>61</v>
      </c>
      <c r="H214" s="1">
        <v>1</v>
      </c>
      <c r="I214" s="1">
        <v>0</v>
      </c>
      <c r="J214" s="1">
        <v>0</v>
      </c>
      <c r="K214" s="1">
        <v>0</v>
      </c>
      <c r="L214" s="1">
        <v>11.09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</row>
    <row r="215" spans="1:19">
      <c r="A215" s="1" t="s">
        <v>377</v>
      </c>
      <c r="B215" s="1" t="s">
        <v>23</v>
      </c>
      <c r="C215" s="1" t="s">
        <v>169</v>
      </c>
      <c r="D215" s="1" t="s">
        <v>162</v>
      </c>
      <c r="E215" s="1">
        <v>5.5</v>
      </c>
      <c r="F215" s="1">
        <v>0</v>
      </c>
      <c r="G215" s="1">
        <v>66</v>
      </c>
      <c r="H215" s="1">
        <v>1</v>
      </c>
      <c r="I215" s="1">
        <v>0</v>
      </c>
      <c r="J215" s="1">
        <v>0</v>
      </c>
      <c r="K215" s="1">
        <v>0</v>
      </c>
      <c r="L215" s="1">
        <v>12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</row>
    <row r="216" spans="1:19">
      <c r="A216" s="1" t="s">
        <v>378</v>
      </c>
      <c r="B216" s="1" t="s">
        <v>38</v>
      </c>
      <c r="C216" s="1" t="s">
        <v>169</v>
      </c>
      <c r="D216" s="1" t="s">
        <v>172</v>
      </c>
      <c r="E216" s="1">
        <v>5</v>
      </c>
      <c r="F216" s="1">
        <v>0</v>
      </c>
      <c r="G216" s="1">
        <v>58</v>
      </c>
      <c r="H216" s="1">
        <v>1</v>
      </c>
      <c r="I216" s="1">
        <v>0</v>
      </c>
      <c r="J216" s="1">
        <v>0</v>
      </c>
      <c r="K216" s="1">
        <v>0</v>
      </c>
      <c r="L216" s="1">
        <v>11.6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>
      <c r="A217" s="1" t="s">
        <v>379</v>
      </c>
      <c r="B217" s="1" t="s">
        <v>10</v>
      </c>
      <c r="C217" s="1" t="s">
        <v>169</v>
      </c>
      <c r="D217" s="1" t="s">
        <v>172</v>
      </c>
      <c r="E217" s="1">
        <v>7</v>
      </c>
      <c r="F217" s="1">
        <v>0</v>
      </c>
      <c r="G217" s="1">
        <v>81</v>
      </c>
      <c r="H217" s="1">
        <v>1</v>
      </c>
      <c r="I217" s="1">
        <v>0</v>
      </c>
      <c r="J217" s="1">
        <v>0</v>
      </c>
      <c r="K217" s="1">
        <v>0</v>
      </c>
      <c r="L217" s="1">
        <v>11.57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</row>
    <row r="218" spans="1:19">
      <c r="A218" s="1" t="s">
        <v>346</v>
      </c>
      <c r="B218" s="1" t="s">
        <v>3</v>
      </c>
      <c r="C218" s="1" t="s">
        <v>161</v>
      </c>
      <c r="D218" s="1" t="s">
        <v>162</v>
      </c>
      <c r="E218" s="1">
        <v>5</v>
      </c>
      <c r="F218" s="1">
        <v>0</v>
      </c>
      <c r="G218" s="1">
        <v>60</v>
      </c>
      <c r="H218" s="1">
        <v>1</v>
      </c>
      <c r="I218" s="1">
        <v>0</v>
      </c>
      <c r="J218" s="1">
        <v>0</v>
      </c>
      <c r="K218" s="1">
        <v>0</v>
      </c>
      <c r="L218" s="1">
        <v>12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</row>
    <row r="219" spans="1:19">
      <c r="A219" s="1" t="s">
        <v>380</v>
      </c>
      <c r="B219" s="1" t="s">
        <v>20</v>
      </c>
      <c r="C219" s="1" t="s">
        <v>169</v>
      </c>
      <c r="D219" s="1" t="s">
        <v>172</v>
      </c>
      <c r="E219" s="1">
        <v>5</v>
      </c>
      <c r="F219" s="1">
        <v>0</v>
      </c>
      <c r="G219" s="1">
        <v>64</v>
      </c>
      <c r="H219" s="1">
        <v>1</v>
      </c>
      <c r="I219" s="1">
        <v>0</v>
      </c>
      <c r="J219" s="1">
        <v>0</v>
      </c>
      <c r="K219" s="1">
        <v>0</v>
      </c>
      <c r="L219" s="1">
        <v>12.8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</row>
    <row r="220" spans="1:19">
      <c r="A220" s="1" t="s">
        <v>381</v>
      </c>
      <c r="B220" s="1" t="s">
        <v>30</v>
      </c>
      <c r="C220" s="1" t="s">
        <v>169</v>
      </c>
      <c r="D220" s="1" t="s">
        <v>172</v>
      </c>
      <c r="E220" s="1">
        <v>4.5</v>
      </c>
      <c r="F220" s="1">
        <v>0</v>
      </c>
      <c r="G220" s="1">
        <v>35</v>
      </c>
      <c r="H220" s="1">
        <v>1</v>
      </c>
      <c r="I220" s="1">
        <v>0</v>
      </c>
      <c r="J220" s="1">
        <v>0</v>
      </c>
      <c r="K220" s="1">
        <v>0</v>
      </c>
      <c r="L220" s="1">
        <v>7.78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</row>
    <row r="221" spans="1:19">
      <c r="A221" s="1" t="s">
        <v>382</v>
      </c>
      <c r="B221" s="1" t="s">
        <v>5</v>
      </c>
      <c r="C221" s="1" t="s">
        <v>161</v>
      </c>
      <c r="D221" s="1" t="s">
        <v>162</v>
      </c>
      <c r="E221" s="1">
        <v>4.5</v>
      </c>
      <c r="F221" s="1">
        <v>0</v>
      </c>
      <c r="G221" s="1">
        <v>59</v>
      </c>
      <c r="H221" s="1">
        <v>1</v>
      </c>
      <c r="I221" s="1">
        <v>0</v>
      </c>
      <c r="J221" s="1">
        <v>0</v>
      </c>
      <c r="K221" s="1">
        <v>0</v>
      </c>
      <c r="L221" s="1">
        <v>13.11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</row>
    <row r="222" spans="1:19">
      <c r="A222" s="1" t="s">
        <v>383</v>
      </c>
      <c r="B222" s="1" t="s">
        <v>26</v>
      </c>
      <c r="C222" s="1" t="s">
        <v>169</v>
      </c>
      <c r="D222" s="1" t="s">
        <v>162</v>
      </c>
      <c r="E222" s="1">
        <v>4.5</v>
      </c>
      <c r="F222" s="1">
        <v>0</v>
      </c>
      <c r="G222" s="1">
        <v>57</v>
      </c>
      <c r="H222" s="1">
        <v>1</v>
      </c>
      <c r="I222" s="1">
        <v>0</v>
      </c>
      <c r="J222" s="1">
        <v>0</v>
      </c>
      <c r="K222" s="1">
        <v>0</v>
      </c>
      <c r="L222" s="1">
        <v>12.67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</row>
    <row r="223" spans="1:19">
      <c r="A223" s="1" t="s">
        <v>384</v>
      </c>
      <c r="B223" s="1" t="s">
        <v>12</v>
      </c>
      <c r="C223" s="1" t="s">
        <v>169</v>
      </c>
      <c r="D223" s="1" t="s">
        <v>162</v>
      </c>
      <c r="E223" s="1">
        <v>6</v>
      </c>
      <c r="F223" s="1">
        <v>0</v>
      </c>
      <c r="G223" s="1">
        <v>62</v>
      </c>
      <c r="H223" s="1">
        <v>1</v>
      </c>
      <c r="I223" s="1">
        <v>0</v>
      </c>
      <c r="J223" s="1">
        <v>0</v>
      </c>
      <c r="K223" s="1">
        <v>0</v>
      </c>
      <c r="L223" s="1">
        <v>10.33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</row>
    <row r="224" spans="1:19">
      <c r="A224" s="1" t="s">
        <v>385</v>
      </c>
      <c r="B224" s="1" t="s">
        <v>38</v>
      </c>
      <c r="C224" s="1" t="s">
        <v>161</v>
      </c>
      <c r="D224" s="1" t="s">
        <v>172</v>
      </c>
      <c r="E224" s="1">
        <v>4.5</v>
      </c>
      <c r="F224" s="1">
        <v>0</v>
      </c>
      <c r="G224" s="1">
        <v>40</v>
      </c>
      <c r="H224" s="1">
        <v>1</v>
      </c>
      <c r="I224" s="1">
        <v>0</v>
      </c>
      <c r="J224" s="1">
        <v>0</v>
      </c>
      <c r="K224" s="1">
        <v>0</v>
      </c>
      <c r="L224" s="1">
        <v>8.89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>
      <c r="A225" s="1" t="s">
        <v>386</v>
      </c>
      <c r="B225" s="1" t="s">
        <v>3</v>
      </c>
      <c r="C225" s="1" t="s">
        <v>169</v>
      </c>
      <c r="D225" s="1" t="s">
        <v>162</v>
      </c>
      <c r="E225" s="1">
        <v>4.5</v>
      </c>
      <c r="F225" s="1">
        <v>0</v>
      </c>
      <c r="G225" s="1">
        <v>37</v>
      </c>
      <c r="H225" s="1">
        <v>1</v>
      </c>
      <c r="I225" s="1">
        <v>0</v>
      </c>
      <c r="J225" s="1">
        <v>0</v>
      </c>
      <c r="K225" s="1">
        <v>0</v>
      </c>
      <c r="L225" s="1">
        <v>8.2200000000000006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</row>
    <row r="226" spans="1:19">
      <c r="A226" s="1" t="s">
        <v>387</v>
      </c>
      <c r="B226" s="1" t="s">
        <v>12</v>
      </c>
      <c r="C226" s="1" t="s">
        <v>161</v>
      </c>
      <c r="D226" s="1" t="s">
        <v>162</v>
      </c>
      <c r="E226" s="1">
        <v>5</v>
      </c>
      <c r="F226" s="1">
        <v>0</v>
      </c>
      <c r="G226" s="1">
        <v>27</v>
      </c>
      <c r="H226" s="1">
        <v>1</v>
      </c>
      <c r="I226" s="1">
        <v>0</v>
      </c>
      <c r="J226" s="1">
        <v>0</v>
      </c>
      <c r="K226" s="1">
        <v>0</v>
      </c>
      <c r="L226" s="1">
        <v>5.4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</row>
    <row r="227" spans="1:19">
      <c r="A227" s="1" t="s">
        <v>388</v>
      </c>
      <c r="B227" s="1" t="s">
        <v>30</v>
      </c>
      <c r="C227" s="1" t="s">
        <v>181</v>
      </c>
      <c r="D227" s="1" t="s">
        <v>172</v>
      </c>
      <c r="E227" s="1">
        <v>5.5</v>
      </c>
      <c r="F227" s="1">
        <v>0</v>
      </c>
      <c r="G227" s="1">
        <v>62</v>
      </c>
      <c r="H227" s="1">
        <v>1</v>
      </c>
      <c r="I227" s="1">
        <v>0</v>
      </c>
      <c r="J227" s="1">
        <v>0</v>
      </c>
      <c r="K227" s="1">
        <v>0</v>
      </c>
      <c r="L227" s="1">
        <v>11.27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</row>
    <row r="228" spans="1:19">
      <c r="A228" s="1" t="s">
        <v>389</v>
      </c>
      <c r="B228" s="1" t="s">
        <v>23</v>
      </c>
      <c r="C228" s="1" t="s">
        <v>181</v>
      </c>
      <c r="D228" s="1" t="s">
        <v>162</v>
      </c>
      <c r="E228" s="1">
        <v>7.5</v>
      </c>
      <c r="F228" s="1">
        <v>0</v>
      </c>
      <c r="G228" s="1">
        <v>76</v>
      </c>
      <c r="H228" s="1">
        <v>1</v>
      </c>
      <c r="I228" s="1">
        <v>0</v>
      </c>
      <c r="J228" s="1">
        <v>0</v>
      </c>
      <c r="K228" s="1">
        <v>0</v>
      </c>
      <c r="L228" s="1">
        <v>10.130000000000001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</row>
    <row r="229" spans="1:19">
      <c r="A229" s="1" t="s">
        <v>390</v>
      </c>
      <c r="B229" s="1" t="s">
        <v>10</v>
      </c>
      <c r="C229" s="1" t="s">
        <v>169</v>
      </c>
      <c r="D229" s="1" t="s">
        <v>172</v>
      </c>
      <c r="E229" s="1">
        <v>4.5</v>
      </c>
      <c r="F229" s="1">
        <v>0</v>
      </c>
      <c r="G229" s="1">
        <v>29</v>
      </c>
      <c r="H229" s="1">
        <v>1</v>
      </c>
      <c r="I229" s="1">
        <v>0</v>
      </c>
      <c r="J229" s="1">
        <v>0</v>
      </c>
      <c r="K229" s="1">
        <v>0</v>
      </c>
      <c r="L229" s="1">
        <v>6.44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</row>
    <row r="230" spans="1:19">
      <c r="A230" s="1" t="s">
        <v>391</v>
      </c>
      <c r="B230" s="1" t="s">
        <v>10</v>
      </c>
      <c r="C230" s="1" t="s">
        <v>169</v>
      </c>
      <c r="D230" s="1" t="s">
        <v>172</v>
      </c>
      <c r="E230" s="1">
        <v>5</v>
      </c>
      <c r="F230" s="1">
        <v>0</v>
      </c>
      <c r="G230" s="1">
        <v>58</v>
      </c>
      <c r="H230" s="1">
        <v>1</v>
      </c>
      <c r="I230" s="1">
        <v>0</v>
      </c>
      <c r="J230" s="1">
        <v>0</v>
      </c>
      <c r="K230" s="1">
        <v>0</v>
      </c>
      <c r="L230" s="1">
        <v>11.6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</row>
    <row r="231" spans="1:19">
      <c r="A231" s="1" t="s">
        <v>392</v>
      </c>
      <c r="B231" s="1" t="s">
        <v>20</v>
      </c>
      <c r="C231" s="1" t="s">
        <v>169</v>
      </c>
      <c r="D231" s="1" t="s">
        <v>172</v>
      </c>
      <c r="E231" s="1">
        <v>4.5</v>
      </c>
      <c r="F231" s="1">
        <v>0</v>
      </c>
      <c r="G231" s="1">
        <v>33</v>
      </c>
      <c r="H231" s="1">
        <v>1</v>
      </c>
      <c r="I231" s="1">
        <v>0</v>
      </c>
      <c r="J231" s="1">
        <v>0</v>
      </c>
      <c r="K231" s="1">
        <v>0</v>
      </c>
      <c r="L231" s="1">
        <v>7.33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</row>
    <row r="232" spans="1:19">
      <c r="A232" s="1" t="s">
        <v>333</v>
      </c>
      <c r="B232" s="1" t="s">
        <v>15</v>
      </c>
      <c r="C232" s="1" t="s">
        <v>161</v>
      </c>
      <c r="D232" s="1" t="s">
        <v>162</v>
      </c>
      <c r="E232" s="1">
        <v>4.5</v>
      </c>
      <c r="F232" s="1">
        <v>0</v>
      </c>
      <c r="G232" s="1">
        <v>44</v>
      </c>
      <c r="H232" s="1">
        <v>1</v>
      </c>
      <c r="I232" s="1">
        <v>0</v>
      </c>
      <c r="J232" s="1">
        <v>0</v>
      </c>
      <c r="K232" s="1">
        <v>0</v>
      </c>
      <c r="L232" s="1">
        <v>9.7799999999999994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</row>
    <row r="233" spans="1:19">
      <c r="A233" s="1" t="s">
        <v>393</v>
      </c>
      <c r="B233" s="1" t="s">
        <v>26</v>
      </c>
      <c r="C233" s="1" t="s">
        <v>161</v>
      </c>
      <c r="D233" s="1" t="s">
        <v>162</v>
      </c>
      <c r="E233" s="1">
        <v>4</v>
      </c>
      <c r="F233" s="1">
        <v>0</v>
      </c>
      <c r="G233" s="1">
        <v>25</v>
      </c>
      <c r="H233" s="1">
        <v>1</v>
      </c>
      <c r="I233" s="1">
        <v>0</v>
      </c>
      <c r="J233" s="1">
        <v>0</v>
      </c>
      <c r="K233" s="1">
        <v>0</v>
      </c>
      <c r="L233" s="1">
        <v>6.25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</row>
    <row r="234" spans="1:19">
      <c r="A234" s="1" t="s">
        <v>394</v>
      </c>
      <c r="B234" s="1" t="s">
        <v>30</v>
      </c>
      <c r="C234" s="1" t="s">
        <v>161</v>
      </c>
      <c r="D234" s="1" t="s">
        <v>172</v>
      </c>
      <c r="E234" s="1">
        <v>4.5</v>
      </c>
      <c r="F234" s="1">
        <v>0</v>
      </c>
      <c r="G234" s="1">
        <v>41</v>
      </c>
      <c r="H234" s="1">
        <v>1</v>
      </c>
      <c r="I234" s="1">
        <v>0</v>
      </c>
      <c r="J234" s="1">
        <v>0</v>
      </c>
      <c r="K234" s="1">
        <v>0</v>
      </c>
      <c r="L234" s="1">
        <v>9.11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</row>
    <row r="235" spans="1:19">
      <c r="A235" s="1" t="s">
        <v>395</v>
      </c>
      <c r="B235" s="1" t="s">
        <v>20</v>
      </c>
      <c r="C235" s="1" t="s">
        <v>181</v>
      </c>
      <c r="D235" s="1" t="s">
        <v>172</v>
      </c>
      <c r="E235" s="1">
        <v>5.5</v>
      </c>
      <c r="F235" s="1">
        <v>0</v>
      </c>
      <c r="G235" s="1">
        <v>46</v>
      </c>
      <c r="H235" s="1">
        <v>1</v>
      </c>
      <c r="I235" s="1">
        <v>0</v>
      </c>
      <c r="J235" s="1">
        <v>0</v>
      </c>
      <c r="K235" s="1">
        <v>0</v>
      </c>
      <c r="L235" s="1">
        <v>8.36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</row>
    <row r="236" spans="1:19">
      <c r="A236" s="1" t="s">
        <v>396</v>
      </c>
      <c r="B236" s="1" t="s">
        <v>5</v>
      </c>
      <c r="C236" s="1" t="s">
        <v>181</v>
      </c>
      <c r="D236" s="1" t="s">
        <v>162</v>
      </c>
      <c r="E236" s="1">
        <v>5.5</v>
      </c>
      <c r="F236" s="1">
        <v>0</v>
      </c>
      <c r="G236" s="1">
        <v>59</v>
      </c>
      <c r="H236" s="1">
        <v>1</v>
      </c>
      <c r="I236" s="1">
        <v>0</v>
      </c>
      <c r="J236" s="1">
        <v>0</v>
      </c>
      <c r="K236" s="1">
        <v>0</v>
      </c>
      <c r="L236" s="1">
        <v>10.73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</row>
    <row r="237" spans="1:19">
      <c r="A237" s="1" t="s">
        <v>397</v>
      </c>
      <c r="B237" s="1" t="s">
        <v>1</v>
      </c>
      <c r="C237" s="1" t="s">
        <v>169</v>
      </c>
      <c r="D237" s="1" t="s">
        <v>162</v>
      </c>
      <c r="E237" s="1">
        <v>5</v>
      </c>
      <c r="F237" s="1">
        <v>0</v>
      </c>
      <c r="G237" s="1">
        <v>54</v>
      </c>
      <c r="H237" s="1">
        <v>1</v>
      </c>
      <c r="I237" s="1">
        <v>0</v>
      </c>
      <c r="J237" s="1">
        <v>0</v>
      </c>
      <c r="K237" s="1">
        <v>0</v>
      </c>
      <c r="L237" s="1">
        <v>10.8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</row>
    <row r="238" spans="1:19">
      <c r="A238" s="1" t="s">
        <v>398</v>
      </c>
      <c r="B238" s="1" t="s">
        <v>26</v>
      </c>
      <c r="C238" s="1" t="s">
        <v>161</v>
      </c>
      <c r="D238" s="1" t="s">
        <v>162</v>
      </c>
      <c r="E238" s="1">
        <v>4.5</v>
      </c>
      <c r="F238" s="1">
        <v>0</v>
      </c>
      <c r="G238" s="1">
        <v>55</v>
      </c>
      <c r="H238" s="1">
        <v>1</v>
      </c>
      <c r="I238" s="1">
        <v>0</v>
      </c>
      <c r="J238" s="1">
        <v>0</v>
      </c>
      <c r="K238" s="1">
        <v>0</v>
      </c>
      <c r="L238" s="1">
        <v>12.22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</row>
    <row r="239" spans="1:19">
      <c r="A239" s="1" t="s">
        <v>399</v>
      </c>
      <c r="B239" s="1" t="s">
        <v>28</v>
      </c>
      <c r="C239" s="1" t="s">
        <v>161</v>
      </c>
      <c r="D239" s="1" t="s">
        <v>172</v>
      </c>
      <c r="E239" s="1">
        <v>5</v>
      </c>
      <c r="F239" s="1">
        <v>0</v>
      </c>
      <c r="G239" s="1">
        <v>34</v>
      </c>
      <c r="H239" s="1">
        <v>1</v>
      </c>
      <c r="I239" s="1">
        <v>0</v>
      </c>
      <c r="J239" s="1">
        <v>0</v>
      </c>
      <c r="K239" s="1">
        <v>0</v>
      </c>
      <c r="L239" s="1">
        <v>6.8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</row>
    <row r="240" spans="1:19">
      <c r="A240" s="1" t="s">
        <v>400</v>
      </c>
      <c r="B240" s="1" t="s">
        <v>34</v>
      </c>
      <c r="C240" s="1" t="s">
        <v>181</v>
      </c>
      <c r="D240" s="1" t="s">
        <v>172</v>
      </c>
      <c r="E240" s="1">
        <v>5.5</v>
      </c>
      <c r="F240" s="1">
        <v>0</v>
      </c>
      <c r="G240" s="1">
        <v>51</v>
      </c>
      <c r="H240" s="1">
        <v>1</v>
      </c>
      <c r="I240" s="1">
        <v>0</v>
      </c>
      <c r="J240" s="1">
        <v>0</v>
      </c>
      <c r="K240" s="1">
        <v>0</v>
      </c>
      <c r="L240" s="1">
        <v>9.27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</row>
    <row r="241" spans="1:19">
      <c r="A241" s="1" t="s">
        <v>401</v>
      </c>
      <c r="B241" s="1" t="s">
        <v>34</v>
      </c>
      <c r="C241" s="1" t="s">
        <v>161</v>
      </c>
      <c r="D241" s="1" t="s">
        <v>172</v>
      </c>
      <c r="E241" s="1">
        <v>4.5</v>
      </c>
      <c r="F241" s="1">
        <v>0</v>
      </c>
      <c r="G241" s="1">
        <v>42</v>
      </c>
      <c r="H241" s="1">
        <v>1</v>
      </c>
      <c r="I241" s="1">
        <v>0</v>
      </c>
      <c r="J241" s="1">
        <v>0</v>
      </c>
      <c r="K241" s="1">
        <v>0</v>
      </c>
      <c r="L241" s="1">
        <v>9.33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</row>
    <row r="242" spans="1:19">
      <c r="A242" s="1" t="s">
        <v>402</v>
      </c>
      <c r="B242" s="1" t="s">
        <v>20</v>
      </c>
      <c r="C242" s="1" t="s">
        <v>181</v>
      </c>
      <c r="D242" s="1" t="s">
        <v>172</v>
      </c>
      <c r="E242" s="1">
        <v>6.5</v>
      </c>
      <c r="F242" s="1">
        <v>0</v>
      </c>
      <c r="G242" s="1">
        <v>97</v>
      </c>
      <c r="H242" s="1">
        <v>1</v>
      </c>
      <c r="I242" s="1">
        <v>0</v>
      </c>
      <c r="J242" s="1">
        <v>0</v>
      </c>
      <c r="K242" s="1">
        <v>0</v>
      </c>
      <c r="L242" s="1">
        <v>14.92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</row>
    <row r="243" spans="1:19">
      <c r="A243" s="1" t="s">
        <v>403</v>
      </c>
      <c r="B243" s="1" t="s">
        <v>34</v>
      </c>
      <c r="C243" s="1" t="s">
        <v>181</v>
      </c>
      <c r="D243" s="1" t="s">
        <v>172</v>
      </c>
      <c r="E243" s="1">
        <v>5</v>
      </c>
      <c r="F243" s="1">
        <v>0</v>
      </c>
      <c r="G243" s="1">
        <v>45</v>
      </c>
      <c r="H243" s="1">
        <v>1</v>
      </c>
      <c r="I243" s="1">
        <v>0</v>
      </c>
      <c r="J243" s="1">
        <v>0</v>
      </c>
      <c r="K243" s="1">
        <v>0</v>
      </c>
      <c r="L243" s="1">
        <v>9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</row>
    <row r="244" spans="1:19">
      <c r="A244" s="1" t="s">
        <v>404</v>
      </c>
      <c r="B244" s="1" t="s">
        <v>12</v>
      </c>
      <c r="C244" s="1" t="s">
        <v>169</v>
      </c>
      <c r="D244" s="1" t="s">
        <v>162</v>
      </c>
      <c r="E244" s="1">
        <v>5.5</v>
      </c>
      <c r="F244" s="1">
        <v>0</v>
      </c>
      <c r="G244" s="1">
        <v>49</v>
      </c>
      <c r="H244" s="1">
        <v>1</v>
      </c>
      <c r="I244" s="1">
        <v>0</v>
      </c>
      <c r="J244" s="1">
        <v>0</v>
      </c>
      <c r="K244" s="1">
        <v>0</v>
      </c>
      <c r="L244" s="1">
        <v>8.91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5" spans="1:19">
      <c r="A245" s="1" t="s">
        <v>405</v>
      </c>
      <c r="B245" s="1" t="s">
        <v>8</v>
      </c>
      <c r="C245" s="1" t="s">
        <v>161</v>
      </c>
      <c r="D245" s="1" t="s">
        <v>162</v>
      </c>
      <c r="E245" s="1">
        <v>5.5</v>
      </c>
      <c r="F245" s="1">
        <v>0</v>
      </c>
      <c r="G245" s="1">
        <v>34</v>
      </c>
      <c r="H245" s="1">
        <v>1</v>
      </c>
      <c r="I245" s="1">
        <v>0</v>
      </c>
      <c r="J245" s="1">
        <v>0</v>
      </c>
      <c r="K245" s="1">
        <v>0</v>
      </c>
      <c r="L245" s="1">
        <v>6.18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</row>
    <row r="246" spans="1:19">
      <c r="A246" s="1" t="s">
        <v>406</v>
      </c>
      <c r="B246" s="1" t="s">
        <v>23</v>
      </c>
      <c r="C246" s="1" t="s">
        <v>169</v>
      </c>
      <c r="D246" s="1" t="s">
        <v>162</v>
      </c>
      <c r="E246" s="1">
        <v>5.5</v>
      </c>
      <c r="F246" s="1">
        <v>0</v>
      </c>
      <c r="G246" s="1">
        <v>55</v>
      </c>
      <c r="H246" s="1">
        <v>1</v>
      </c>
      <c r="I246" s="1">
        <v>0</v>
      </c>
      <c r="J246" s="1">
        <v>0</v>
      </c>
      <c r="K246" s="1">
        <v>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</row>
    <row r="247" spans="1:19">
      <c r="A247" s="1" t="s">
        <v>407</v>
      </c>
      <c r="B247" s="1" t="s">
        <v>20</v>
      </c>
      <c r="C247" s="1" t="s">
        <v>161</v>
      </c>
      <c r="D247" s="1" t="s">
        <v>172</v>
      </c>
      <c r="E247" s="1">
        <v>4.5</v>
      </c>
      <c r="F247" s="1">
        <v>0</v>
      </c>
      <c r="G247" s="1">
        <v>44</v>
      </c>
      <c r="H247" s="1">
        <v>1</v>
      </c>
      <c r="I247" s="1">
        <v>0</v>
      </c>
      <c r="J247" s="1">
        <v>0</v>
      </c>
      <c r="K247" s="1">
        <v>0</v>
      </c>
      <c r="L247" s="1">
        <v>9.7799999999999994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</row>
    <row r="248" spans="1:19">
      <c r="A248" s="1" t="s">
        <v>408</v>
      </c>
      <c r="B248" s="1" t="s">
        <v>34</v>
      </c>
      <c r="C248" s="1" t="s">
        <v>181</v>
      </c>
      <c r="D248" s="1" t="s">
        <v>172</v>
      </c>
      <c r="E248" s="1">
        <v>5.5</v>
      </c>
      <c r="F248" s="1">
        <v>0</v>
      </c>
      <c r="G248" s="1">
        <v>67</v>
      </c>
      <c r="H248" s="1">
        <v>1</v>
      </c>
      <c r="I248" s="1">
        <v>0</v>
      </c>
      <c r="J248" s="1">
        <v>0</v>
      </c>
      <c r="K248" s="1">
        <v>0</v>
      </c>
      <c r="L248" s="1">
        <v>12.18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</row>
    <row r="249" spans="1:19">
      <c r="A249" s="1" t="s">
        <v>409</v>
      </c>
      <c r="B249" s="1" t="s">
        <v>8</v>
      </c>
      <c r="C249" s="1" t="s">
        <v>161</v>
      </c>
      <c r="D249" s="1" t="s">
        <v>162</v>
      </c>
      <c r="E249" s="1">
        <v>5</v>
      </c>
      <c r="F249" s="1">
        <v>0</v>
      </c>
      <c r="G249" s="1">
        <v>53</v>
      </c>
      <c r="H249" s="1">
        <v>1</v>
      </c>
      <c r="I249" s="1">
        <v>0</v>
      </c>
      <c r="J249" s="1">
        <v>0</v>
      </c>
      <c r="K249" s="1">
        <v>0</v>
      </c>
      <c r="L249" s="1">
        <v>10.6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</row>
    <row r="250" spans="1:19">
      <c r="A250" s="1" t="s">
        <v>410</v>
      </c>
      <c r="B250" s="1" t="s">
        <v>19</v>
      </c>
      <c r="C250" s="1" t="s">
        <v>161</v>
      </c>
      <c r="D250" s="1" t="s">
        <v>162</v>
      </c>
      <c r="E250" s="1">
        <v>4.5</v>
      </c>
      <c r="F250" s="1">
        <v>0</v>
      </c>
      <c r="G250" s="1">
        <v>20</v>
      </c>
      <c r="H250" s="1">
        <v>1</v>
      </c>
      <c r="I250" s="1">
        <v>0</v>
      </c>
      <c r="J250" s="1">
        <v>0</v>
      </c>
      <c r="K250" s="1">
        <v>0</v>
      </c>
      <c r="L250" s="1">
        <v>4.4400000000000004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</row>
    <row r="251" spans="1:19">
      <c r="A251" s="1" t="s">
        <v>411</v>
      </c>
      <c r="B251" s="1" t="s">
        <v>30</v>
      </c>
      <c r="C251" s="1" t="s">
        <v>181</v>
      </c>
      <c r="D251" s="1" t="s">
        <v>172</v>
      </c>
      <c r="E251" s="1">
        <v>5</v>
      </c>
      <c r="F251" s="1">
        <v>0</v>
      </c>
      <c r="G251" s="1">
        <v>57</v>
      </c>
      <c r="H251" s="1">
        <v>1</v>
      </c>
      <c r="I251" s="1">
        <v>0</v>
      </c>
      <c r="J251" s="1">
        <v>0</v>
      </c>
      <c r="K251" s="1">
        <v>0</v>
      </c>
      <c r="L251" s="1">
        <v>11.4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</row>
    <row r="252" spans="1:19">
      <c r="A252" s="1" t="s">
        <v>412</v>
      </c>
      <c r="B252" s="1" t="s">
        <v>26</v>
      </c>
      <c r="C252" s="1" t="s">
        <v>169</v>
      </c>
      <c r="D252" s="1" t="s">
        <v>162</v>
      </c>
      <c r="E252" s="1">
        <v>5</v>
      </c>
      <c r="F252" s="1">
        <v>0</v>
      </c>
      <c r="G252" s="1">
        <v>60</v>
      </c>
      <c r="H252" s="1">
        <v>1</v>
      </c>
      <c r="I252" s="1">
        <v>0</v>
      </c>
      <c r="J252" s="1">
        <v>0</v>
      </c>
      <c r="K252" s="1">
        <v>0</v>
      </c>
      <c r="L252" s="1">
        <v>12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</row>
    <row r="253" spans="1:19">
      <c r="A253" s="1" t="s">
        <v>413</v>
      </c>
      <c r="B253" s="1" t="s">
        <v>8</v>
      </c>
      <c r="C253" s="1" t="s">
        <v>161</v>
      </c>
      <c r="D253" s="1" t="s">
        <v>162</v>
      </c>
      <c r="E253" s="1">
        <v>5</v>
      </c>
      <c r="F253" s="1">
        <v>0</v>
      </c>
      <c r="G253" s="1">
        <v>34</v>
      </c>
      <c r="H253" s="1">
        <v>1</v>
      </c>
      <c r="I253" s="1">
        <v>0</v>
      </c>
      <c r="J253" s="1">
        <v>0</v>
      </c>
      <c r="K253" s="1">
        <v>0</v>
      </c>
      <c r="L253" s="1">
        <v>6.8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</row>
    <row r="254" spans="1:19">
      <c r="A254" s="1" t="s">
        <v>414</v>
      </c>
      <c r="B254" s="1" t="s">
        <v>1</v>
      </c>
      <c r="C254" s="1" t="s">
        <v>181</v>
      </c>
      <c r="D254" s="1" t="s">
        <v>162</v>
      </c>
      <c r="E254" s="1">
        <v>6.5</v>
      </c>
      <c r="F254" s="1">
        <v>0</v>
      </c>
      <c r="G254" s="1">
        <v>56</v>
      </c>
      <c r="H254" s="1">
        <v>1</v>
      </c>
      <c r="I254" s="1">
        <v>0</v>
      </c>
      <c r="J254" s="1">
        <v>0</v>
      </c>
      <c r="K254" s="1">
        <v>0</v>
      </c>
      <c r="L254" s="1">
        <v>8.6199999999999992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</row>
    <row r="255" spans="1:19">
      <c r="A255" s="1" t="s">
        <v>415</v>
      </c>
      <c r="B255" s="1" t="s">
        <v>5</v>
      </c>
      <c r="C255" s="1" t="s">
        <v>161</v>
      </c>
      <c r="D255" s="1" t="s">
        <v>162</v>
      </c>
      <c r="E255" s="1">
        <v>4.5</v>
      </c>
      <c r="F255" s="1">
        <v>0</v>
      </c>
      <c r="G255" s="1">
        <v>26</v>
      </c>
      <c r="H255" s="1">
        <v>1</v>
      </c>
      <c r="I255" s="1">
        <v>0</v>
      </c>
      <c r="J255" s="1">
        <v>0</v>
      </c>
      <c r="K255" s="1">
        <v>0</v>
      </c>
      <c r="L255" s="1">
        <v>5.78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</row>
    <row r="256" spans="1:19">
      <c r="A256" s="1" t="s">
        <v>416</v>
      </c>
      <c r="B256" s="1" t="s">
        <v>12</v>
      </c>
      <c r="C256" s="1" t="s">
        <v>161</v>
      </c>
      <c r="D256" s="1" t="s">
        <v>162</v>
      </c>
      <c r="E256" s="1">
        <v>4.5</v>
      </c>
      <c r="F256" s="1">
        <v>0</v>
      </c>
      <c r="G256" s="1">
        <v>28</v>
      </c>
      <c r="H256" s="1">
        <v>990</v>
      </c>
      <c r="I256" s="1">
        <v>0</v>
      </c>
      <c r="J256" s="1">
        <v>0</v>
      </c>
      <c r="K256" s="1">
        <v>0</v>
      </c>
      <c r="L256" s="1">
        <v>6.22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</row>
    <row r="257" spans="1:19">
      <c r="A257" s="1" t="s">
        <v>417</v>
      </c>
      <c r="B257" s="1" t="s">
        <v>38</v>
      </c>
      <c r="C257" s="1" t="s">
        <v>161</v>
      </c>
      <c r="D257" s="1" t="s">
        <v>172</v>
      </c>
      <c r="E257" s="1">
        <v>5</v>
      </c>
      <c r="F257" s="1">
        <v>0</v>
      </c>
      <c r="G257" s="1">
        <v>48</v>
      </c>
      <c r="H257" s="1">
        <v>983</v>
      </c>
      <c r="I257" s="1">
        <v>0</v>
      </c>
      <c r="J257" s="1">
        <v>0</v>
      </c>
      <c r="K257" s="1">
        <v>0</v>
      </c>
      <c r="L257" s="1">
        <v>9.6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</row>
    <row r="258" spans="1:19">
      <c r="A258" s="1" t="s">
        <v>418</v>
      </c>
      <c r="B258" s="1" t="s">
        <v>23</v>
      </c>
      <c r="C258" s="1" t="s">
        <v>161</v>
      </c>
      <c r="D258" s="1" t="s">
        <v>162</v>
      </c>
      <c r="E258" s="1">
        <v>5.5</v>
      </c>
      <c r="F258" s="1">
        <v>0</v>
      </c>
      <c r="G258" s="1">
        <v>31</v>
      </c>
      <c r="H258" s="1">
        <v>942</v>
      </c>
      <c r="I258" s="1">
        <v>0</v>
      </c>
      <c r="J258" s="1">
        <v>0</v>
      </c>
      <c r="K258" s="1">
        <v>0</v>
      </c>
      <c r="L258" s="1">
        <v>5.64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</row>
    <row r="259" spans="1:19">
      <c r="A259" s="1" t="s">
        <v>419</v>
      </c>
      <c r="B259" s="1" t="s">
        <v>3</v>
      </c>
      <c r="C259" s="1" t="s">
        <v>181</v>
      </c>
      <c r="D259" s="1" t="s">
        <v>162</v>
      </c>
      <c r="E259" s="1">
        <v>7</v>
      </c>
      <c r="F259" s="1">
        <v>0</v>
      </c>
      <c r="G259" s="1">
        <v>32</v>
      </c>
      <c r="H259" s="1">
        <v>939</v>
      </c>
      <c r="I259" s="1">
        <v>0</v>
      </c>
      <c r="J259" s="1">
        <v>0</v>
      </c>
      <c r="K259" s="1">
        <v>0</v>
      </c>
      <c r="L259" s="1">
        <v>4.57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</row>
    <row r="260" spans="1:19">
      <c r="A260" s="1" t="s">
        <v>420</v>
      </c>
      <c r="B260" s="1" t="s">
        <v>26</v>
      </c>
      <c r="C260" s="1" t="s">
        <v>161</v>
      </c>
      <c r="D260" s="1" t="s">
        <v>162</v>
      </c>
      <c r="E260" s="1">
        <v>4</v>
      </c>
      <c r="F260" s="1">
        <v>0</v>
      </c>
      <c r="G260" s="1">
        <v>13</v>
      </c>
      <c r="H260" s="1">
        <v>937</v>
      </c>
      <c r="I260" s="1">
        <v>0</v>
      </c>
      <c r="J260" s="1">
        <v>0</v>
      </c>
      <c r="K260" s="1">
        <v>0</v>
      </c>
      <c r="L260" s="1">
        <v>3.25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</row>
    <row r="261" spans="1:19">
      <c r="A261" s="1" t="s">
        <v>421</v>
      </c>
      <c r="B261" s="1" t="s">
        <v>30</v>
      </c>
      <c r="C261" s="1" t="s">
        <v>167</v>
      </c>
      <c r="D261" s="1" t="s">
        <v>172</v>
      </c>
      <c r="E261" s="1">
        <v>4.5</v>
      </c>
      <c r="F261" s="1">
        <v>0</v>
      </c>
      <c r="G261" s="1">
        <v>56</v>
      </c>
      <c r="H261" s="1">
        <v>935</v>
      </c>
      <c r="I261" s="1">
        <v>0</v>
      </c>
      <c r="J261" s="1">
        <v>0</v>
      </c>
      <c r="K261" s="1">
        <v>0</v>
      </c>
      <c r="L261" s="1">
        <v>12.44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</row>
    <row r="262" spans="1:19">
      <c r="A262" s="1" t="s">
        <v>422</v>
      </c>
      <c r="B262" s="1" t="s">
        <v>3</v>
      </c>
      <c r="C262" s="1" t="s">
        <v>169</v>
      </c>
      <c r="D262" s="1" t="s">
        <v>162</v>
      </c>
      <c r="E262" s="1">
        <v>6</v>
      </c>
      <c r="F262" s="1">
        <v>0</v>
      </c>
      <c r="G262" s="1">
        <v>47</v>
      </c>
      <c r="H262" s="1">
        <v>934</v>
      </c>
      <c r="I262" s="1">
        <v>0</v>
      </c>
      <c r="J262" s="1">
        <v>0</v>
      </c>
      <c r="K262" s="1">
        <v>0</v>
      </c>
      <c r="L262" s="1">
        <v>7.83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</row>
    <row r="263" spans="1:19">
      <c r="A263" s="1" t="s">
        <v>423</v>
      </c>
      <c r="B263" s="1" t="s">
        <v>5</v>
      </c>
      <c r="C263" s="1" t="s">
        <v>169</v>
      </c>
      <c r="D263" s="1" t="s">
        <v>162</v>
      </c>
      <c r="E263" s="1">
        <v>5</v>
      </c>
      <c r="F263" s="1">
        <v>0</v>
      </c>
      <c r="G263" s="1">
        <v>33</v>
      </c>
      <c r="H263" s="1">
        <v>933</v>
      </c>
      <c r="I263" s="1">
        <v>0</v>
      </c>
      <c r="J263" s="1">
        <v>0</v>
      </c>
      <c r="K263" s="1">
        <v>0</v>
      </c>
      <c r="L263" s="1">
        <v>6.6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</row>
    <row r="264" spans="1:19">
      <c r="A264" s="1" t="s">
        <v>424</v>
      </c>
      <c r="B264" s="1" t="s">
        <v>17</v>
      </c>
      <c r="C264" s="1" t="s">
        <v>181</v>
      </c>
      <c r="D264" s="1" t="s">
        <v>162</v>
      </c>
      <c r="E264" s="1">
        <v>7.5</v>
      </c>
      <c r="F264" s="1">
        <v>0</v>
      </c>
      <c r="G264" s="1">
        <v>61</v>
      </c>
      <c r="H264" s="1">
        <v>932</v>
      </c>
      <c r="I264" s="1">
        <v>0</v>
      </c>
      <c r="J264" s="1">
        <v>0</v>
      </c>
      <c r="K264" s="1">
        <v>0</v>
      </c>
      <c r="L264" s="1">
        <v>8.1300000000000008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</row>
    <row r="265" spans="1:19">
      <c r="A265" s="1" t="s">
        <v>425</v>
      </c>
      <c r="B265" s="1" t="s">
        <v>15</v>
      </c>
      <c r="C265" s="1" t="s">
        <v>169</v>
      </c>
      <c r="D265" s="1" t="s">
        <v>162</v>
      </c>
      <c r="E265" s="1">
        <v>4.5</v>
      </c>
      <c r="F265" s="1">
        <v>0</v>
      </c>
      <c r="G265" s="1">
        <v>22</v>
      </c>
      <c r="H265" s="1">
        <v>911</v>
      </c>
      <c r="I265" s="1">
        <v>0</v>
      </c>
      <c r="J265" s="1">
        <v>0</v>
      </c>
      <c r="K265" s="1">
        <v>0</v>
      </c>
      <c r="L265" s="1">
        <v>4.8899999999999997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</row>
    <row r="266" spans="1:19">
      <c r="A266" s="1" t="s">
        <v>426</v>
      </c>
      <c r="B266" s="1" t="s">
        <v>15</v>
      </c>
      <c r="C266" s="1" t="s">
        <v>167</v>
      </c>
      <c r="D266" s="1" t="s">
        <v>162</v>
      </c>
      <c r="E266" s="1">
        <v>4.5</v>
      </c>
      <c r="F266" s="1">
        <v>0</v>
      </c>
      <c r="G266" s="1">
        <v>31</v>
      </c>
      <c r="H266" s="1">
        <v>900</v>
      </c>
      <c r="I266" s="1">
        <v>0</v>
      </c>
      <c r="J266" s="1">
        <v>0</v>
      </c>
      <c r="K266" s="1">
        <v>0</v>
      </c>
      <c r="L266" s="1">
        <v>6.89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</row>
    <row r="267" spans="1:19">
      <c r="A267" s="1" t="s">
        <v>427</v>
      </c>
      <c r="B267" s="1" t="s">
        <v>36</v>
      </c>
      <c r="C267" s="1" t="s">
        <v>169</v>
      </c>
      <c r="D267" s="1" t="s">
        <v>162</v>
      </c>
      <c r="E267" s="1">
        <v>4.5</v>
      </c>
      <c r="F267" s="1">
        <v>0</v>
      </c>
      <c r="G267" s="1">
        <v>25</v>
      </c>
      <c r="H267" s="1">
        <v>899</v>
      </c>
      <c r="I267" s="1">
        <v>0</v>
      </c>
      <c r="J267" s="1">
        <v>0</v>
      </c>
      <c r="K267" s="1">
        <v>0</v>
      </c>
      <c r="L267" s="1">
        <v>5.56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</row>
    <row r="268" spans="1:19">
      <c r="A268" s="1" t="s">
        <v>428</v>
      </c>
      <c r="B268" s="1" t="s">
        <v>32</v>
      </c>
      <c r="C268" s="1" t="s">
        <v>169</v>
      </c>
      <c r="D268" s="1" t="s">
        <v>172</v>
      </c>
      <c r="E268" s="1">
        <v>5</v>
      </c>
      <c r="F268" s="1">
        <v>0</v>
      </c>
      <c r="G268" s="1">
        <v>23</v>
      </c>
      <c r="H268" s="1">
        <v>897</v>
      </c>
      <c r="I268" s="1">
        <v>0</v>
      </c>
      <c r="J268" s="1">
        <v>0</v>
      </c>
      <c r="K268" s="1">
        <v>0</v>
      </c>
      <c r="L268" s="1">
        <v>4.5999999999999996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</row>
    <row r="269" spans="1:19">
      <c r="A269" s="1" t="s">
        <v>429</v>
      </c>
      <c r="B269" s="1" t="s">
        <v>20</v>
      </c>
      <c r="C269" s="1" t="s">
        <v>169</v>
      </c>
      <c r="D269" s="1" t="s">
        <v>172</v>
      </c>
      <c r="E269" s="1">
        <v>4.5</v>
      </c>
      <c r="F269" s="1">
        <v>0</v>
      </c>
      <c r="G269" s="1">
        <v>23</v>
      </c>
      <c r="H269" s="1">
        <v>895</v>
      </c>
      <c r="I269" s="1">
        <v>0</v>
      </c>
      <c r="J269" s="1">
        <v>0</v>
      </c>
      <c r="K269" s="1">
        <v>0</v>
      </c>
      <c r="L269" s="1">
        <v>5.1100000000000003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</row>
    <row r="270" spans="1:19">
      <c r="A270" s="1" t="s">
        <v>430</v>
      </c>
      <c r="B270" s="1" t="s">
        <v>12</v>
      </c>
      <c r="C270" s="1" t="s">
        <v>161</v>
      </c>
      <c r="D270" s="1" t="s">
        <v>162</v>
      </c>
      <c r="E270" s="1">
        <v>4.5</v>
      </c>
      <c r="F270" s="1">
        <v>0</v>
      </c>
      <c r="G270" s="1">
        <v>31</v>
      </c>
      <c r="H270" s="1">
        <v>895</v>
      </c>
      <c r="I270" s="1">
        <v>0</v>
      </c>
      <c r="J270" s="1">
        <v>0</v>
      </c>
      <c r="K270" s="1">
        <v>0</v>
      </c>
      <c r="L270" s="1">
        <v>6.89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</row>
    <row r="271" spans="1:19">
      <c r="A271" s="1" t="s">
        <v>431</v>
      </c>
      <c r="B271" s="1" t="s">
        <v>10</v>
      </c>
      <c r="C271" s="1" t="s">
        <v>169</v>
      </c>
      <c r="D271" s="1" t="s">
        <v>172</v>
      </c>
      <c r="E271" s="1">
        <v>5</v>
      </c>
      <c r="F271" s="1">
        <v>0</v>
      </c>
      <c r="G271" s="1">
        <v>44</v>
      </c>
      <c r="H271" s="1">
        <v>884</v>
      </c>
      <c r="I271" s="1">
        <v>0</v>
      </c>
      <c r="J271" s="1">
        <v>0</v>
      </c>
      <c r="K271" s="1">
        <v>0</v>
      </c>
      <c r="L271" s="1">
        <v>8.8000000000000007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</row>
    <row r="272" spans="1:19">
      <c r="A272" s="1" t="s">
        <v>432</v>
      </c>
      <c r="B272" s="1" t="s">
        <v>15</v>
      </c>
      <c r="C272" s="1" t="s">
        <v>169</v>
      </c>
      <c r="D272" s="1" t="s">
        <v>162</v>
      </c>
      <c r="E272" s="1">
        <v>5</v>
      </c>
      <c r="F272" s="1">
        <v>0</v>
      </c>
      <c r="G272" s="1">
        <v>37</v>
      </c>
      <c r="H272" s="1">
        <v>876</v>
      </c>
      <c r="I272" s="1">
        <v>0</v>
      </c>
      <c r="J272" s="1">
        <v>0</v>
      </c>
      <c r="K272" s="1">
        <v>0</v>
      </c>
      <c r="L272" s="1">
        <v>7.4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</row>
    <row r="273" spans="1:19">
      <c r="A273" s="1" t="s">
        <v>433</v>
      </c>
      <c r="B273" s="1" t="s">
        <v>34</v>
      </c>
      <c r="C273" s="1" t="s">
        <v>181</v>
      </c>
      <c r="D273" s="1" t="s">
        <v>172</v>
      </c>
      <c r="E273" s="1">
        <v>6</v>
      </c>
      <c r="F273" s="1">
        <v>0</v>
      </c>
      <c r="G273" s="1">
        <v>70</v>
      </c>
      <c r="H273" s="1">
        <v>868</v>
      </c>
      <c r="I273" s="1">
        <v>0</v>
      </c>
      <c r="J273" s="1">
        <v>0</v>
      </c>
      <c r="K273" s="1">
        <v>0</v>
      </c>
      <c r="L273" s="1">
        <v>11.67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</row>
    <row r="274" spans="1:19">
      <c r="A274" s="1" t="s">
        <v>434</v>
      </c>
      <c r="B274" s="1" t="s">
        <v>8</v>
      </c>
      <c r="C274" s="1" t="s">
        <v>169</v>
      </c>
      <c r="D274" s="1" t="s">
        <v>162</v>
      </c>
      <c r="E274" s="1">
        <v>5.5</v>
      </c>
      <c r="F274" s="1">
        <v>0</v>
      </c>
      <c r="G274" s="1">
        <v>31</v>
      </c>
      <c r="H274" s="1">
        <v>856</v>
      </c>
      <c r="I274" s="1">
        <v>0</v>
      </c>
      <c r="J274" s="1">
        <v>0</v>
      </c>
      <c r="K274" s="1">
        <v>0</v>
      </c>
      <c r="L274" s="1">
        <v>5.64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</row>
    <row r="275" spans="1:19">
      <c r="A275" s="1" t="s">
        <v>435</v>
      </c>
      <c r="B275" s="1" t="s">
        <v>23</v>
      </c>
      <c r="C275" s="1" t="s">
        <v>181</v>
      </c>
      <c r="D275" s="1" t="s">
        <v>162</v>
      </c>
      <c r="E275" s="1">
        <v>7.5</v>
      </c>
      <c r="F275" s="1">
        <v>0</v>
      </c>
      <c r="G275" s="1">
        <v>64</v>
      </c>
      <c r="H275" s="1">
        <v>853</v>
      </c>
      <c r="I275" s="1">
        <v>0</v>
      </c>
      <c r="J275" s="1">
        <v>0</v>
      </c>
      <c r="K275" s="1">
        <v>0</v>
      </c>
      <c r="L275" s="1">
        <v>8.5299999999999994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</row>
    <row r="276" spans="1:19">
      <c r="A276" s="1" t="s">
        <v>436</v>
      </c>
      <c r="B276" s="1" t="s">
        <v>34</v>
      </c>
      <c r="C276" s="1" t="s">
        <v>169</v>
      </c>
      <c r="D276" s="1" t="s">
        <v>172</v>
      </c>
      <c r="E276" s="1">
        <v>4.5</v>
      </c>
      <c r="F276" s="1">
        <v>0</v>
      </c>
      <c r="G276" s="1">
        <v>27</v>
      </c>
      <c r="H276" s="1">
        <v>853</v>
      </c>
      <c r="I276" s="1">
        <v>0</v>
      </c>
      <c r="J276" s="1">
        <v>0</v>
      </c>
      <c r="K276" s="1">
        <v>0</v>
      </c>
      <c r="L276" s="1">
        <v>6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</row>
    <row r="277" spans="1:19">
      <c r="A277" s="1" t="s">
        <v>437</v>
      </c>
      <c r="B277" s="1" t="s">
        <v>34</v>
      </c>
      <c r="C277" s="1" t="s">
        <v>161</v>
      </c>
      <c r="D277" s="1" t="s">
        <v>172</v>
      </c>
      <c r="E277" s="1">
        <v>4</v>
      </c>
      <c r="F277" s="1">
        <v>0</v>
      </c>
      <c r="G277" s="1">
        <v>25</v>
      </c>
      <c r="H277" s="1">
        <v>843</v>
      </c>
      <c r="I277" s="1">
        <v>0</v>
      </c>
      <c r="J277" s="1">
        <v>0</v>
      </c>
      <c r="K277" s="1">
        <v>0</v>
      </c>
      <c r="L277" s="1">
        <v>6.25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</row>
    <row r="278" spans="1:19">
      <c r="A278" s="1" t="s">
        <v>438</v>
      </c>
      <c r="B278" s="1" t="s">
        <v>3</v>
      </c>
      <c r="C278" s="1" t="s">
        <v>181</v>
      </c>
      <c r="D278" s="1" t="s">
        <v>162</v>
      </c>
      <c r="E278" s="1">
        <v>6</v>
      </c>
      <c r="F278" s="1">
        <v>0</v>
      </c>
      <c r="G278" s="1">
        <v>50</v>
      </c>
      <c r="H278" s="1">
        <v>839</v>
      </c>
      <c r="I278" s="1">
        <v>0</v>
      </c>
      <c r="J278" s="1">
        <v>0</v>
      </c>
      <c r="K278" s="1">
        <v>0</v>
      </c>
      <c r="L278" s="1">
        <v>8.33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</row>
    <row r="279" spans="1:19">
      <c r="A279" s="1" t="s">
        <v>439</v>
      </c>
      <c r="B279" s="1" t="s">
        <v>30</v>
      </c>
      <c r="C279" s="1" t="s">
        <v>161</v>
      </c>
      <c r="D279" s="1" t="s">
        <v>172</v>
      </c>
      <c r="E279" s="1">
        <v>4.5</v>
      </c>
      <c r="F279" s="1">
        <v>0</v>
      </c>
      <c r="G279" s="1">
        <v>32</v>
      </c>
      <c r="H279" s="1">
        <v>825</v>
      </c>
      <c r="I279" s="1">
        <v>0</v>
      </c>
      <c r="J279" s="1">
        <v>0</v>
      </c>
      <c r="K279" s="1">
        <v>0</v>
      </c>
      <c r="L279" s="1">
        <v>7.11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</row>
    <row r="280" spans="1:19">
      <c r="A280" s="1" t="s">
        <v>440</v>
      </c>
      <c r="B280" s="1" t="s">
        <v>15</v>
      </c>
      <c r="C280" s="1" t="s">
        <v>161</v>
      </c>
      <c r="D280" s="1" t="s">
        <v>162</v>
      </c>
      <c r="E280" s="1">
        <v>4.5</v>
      </c>
      <c r="F280" s="1">
        <v>0</v>
      </c>
      <c r="G280" s="1">
        <v>32</v>
      </c>
      <c r="H280" s="1">
        <v>823</v>
      </c>
      <c r="I280" s="1">
        <v>0</v>
      </c>
      <c r="J280" s="1">
        <v>0</v>
      </c>
      <c r="K280" s="1">
        <v>0</v>
      </c>
      <c r="L280" s="1">
        <v>7.11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</row>
    <row r="281" spans="1:19">
      <c r="A281" s="1" t="s">
        <v>441</v>
      </c>
      <c r="B281" s="1" t="s">
        <v>38</v>
      </c>
      <c r="C281" s="1" t="s">
        <v>169</v>
      </c>
      <c r="D281" s="1" t="s">
        <v>172</v>
      </c>
      <c r="E281" s="1">
        <v>5.5</v>
      </c>
      <c r="F281" s="1">
        <v>0</v>
      </c>
      <c r="G281" s="1">
        <v>31</v>
      </c>
      <c r="H281" s="1">
        <v>822</v>
      </c>
      <c r="I281" s="1">
        <v>0</v>
      </c>
      <c r="J281" s="1">
        <v>0</v>
      </c>
      <c r="K281" s="1">
        <v>0</v>
      </c>
      <c r="L281" s="1">
        <v>5.64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</row>
    <row r="282" spans="1:19">
      <c r="A282" s="1" t="s">
        <v>442</v>
      </c>
      <c r="B282" s="1" t="s">
        <v>12</v>
      </c>
      <c r="C282" s="1" t="s">
        <v>181</v>
      </c>
      <c r="D282" s="1" t="s">
        <v>162</v>
      </c>
      <c r="E282" s="1">
        <v>6</v>
      </c>
      <c r="F282" s="1">
        <v>0</v>
      </c>
      <c r="G282" s="1">
        <v>40</v>
      </c>
      <c r="H282" s="1">
        <v>813</v>
      </c>
      <c r="I282" s="1">
        <v>0</v>
      </c>
      <c r="J282" s="1">
        <v>0</v>
      </c>
      <c r="K282" s="1">
        <v>0</v>
      </c>
      <c r="L282" s="1">
        <v>6.67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</row>
    <row r="283" spans="1:19">
      <c r="A283" s="1" t="s">
        <v>443</v>
      </c>
      <c r="B283" s="1" t="s">
        <v>0</v>
      </c>
      <c r="C283" s="1" t="s">
        <v>161</v>
      </c>
      <c r="D283" s="1" t="s">
        <v>189</v>
      </c>
      <c r="E283" s="1">
        <v>5.5</v>
      </c>
      <c r="F283" s="1">
        <v>0</v>
      </c>
      <c r="G283" s="1">
        <v>23</v>
      </c>
      <c r="H283" s="1">
        <v>805</v>
      </c>
      <c r="I283" s="1">
        <v>0</v>
      </c>
      <c r="J283" s="1">
        <v>0</v>
      </c>
      <c r="K283" s="1">
        <v>0</v>
      </c>
      <c r="L283" s="1">
        <v>4.18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</row>
    <row r="284" spans="1:19">
      <c r="A284" s="1" t="s">
        <v>444</v>
      </c>
      <c r="B284" s="1" t="s">
        <v>12</v>
      </c>
      <c r="C284" s="1" t="s">
        <v>181</v>
      </c>
      <c r="D284" s="1" t="s">
        <v>162</v>
      </c>
      <c r="E284" s="1">
        <v>6</v>
      </c>
      <c r="F284" s="1">
        <v>0</v>
      </c>
      <c r="G284" s="1">
        <v>36</v>
      </c>
      <c r="H284" s="1">
        <v>804</v>
      </c>
      <c r="I284" s="1">
        <v>0</v>
      </c>
      <c r="J284" s="1">
        <v>0</v>
      </c>
      <c r="K284" s="1">
        <v>0</v>
      </c>
      <c r="L284" s="1">
        <v>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</row>
    <row r="285" spans="1:19">
      <c r="A285" s="1" t="s">
        <v>445</v>
      </c>
      <c r="B285" s="1" t="s">
        <v>24</v>
      </c>
      <c r="C285" s="1" t="s">
        <v>169</v>
      </c>
      <c r="D285" s="1" t="s">
        <v>162</v>
      </c>
      <c r="E285" s="1">
        <v>6</v>
      </c>
      <c r="F285" s="1">
        <v>0</v>
      </c>
      <c r="G285" s="1">
        <v>40</v>
      </c>
      <c r="H285" s="1">
        <v>788</v>
      </c>
      <c r="I285" s="1">
        <v>0</v>
      </c>
      <c r="J285" s="1">
        <v>0</v>
      </c>
      <c r="K285" s="1">
        <v>0</v>
      </c>
      <c r="L285" s="1">
        <v>6.67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</row>
    <row r="286" spans="1:19">
      <c r="A286" s="1" t="s">
        <v>446</v>
      </c>
      <c r="B286" s="1" t="s">
        <v>17</v>
      </c>
      <c r="C286" s="1" t="s">
        <v>181</v>
      </c>
      <c r="D286" s="1" t="s">
        <v>162</v>
      </c>
      <c r="E286" s="1">
        <v>7</v>
      </c>
      <c r="F286" s="1">
        <v>0</v>
      </c>
      <c r="G286" s="1">
        <v>62</v>
      </c>
      <c r="H286" s="1">
        <v>784</v>
      </c>
      <c r="I286" s="1">
        <v>0</v>
      </c>
      <c r="J286" s="1">
        <v>0</v>
      </c>
      <c r="K286" s="1">
        <v>0</v>
      </c>
      <c r="L286" s="1">
        <v>8.86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</row>
    <row r="287" spans="1:19">
      <c r="A287" s="1" t="s">
        <v>447</v>
      </c>
      <c r="B287" s="1" t="s">
        <v>26</v>
      </c>
      <c r="C287" s="1" t="s">
        <v>169</v>
      </c>
      <c r="D287" s="1" t="s">
        <v>162</v>
      </c>
      <c r="E287" s="1">
        <v>4.5</v>
      </c>
      <c r="F287" s="1">
        <v>0</v>
      </c>
      <c r="G287" s="1">
        <v>20</v>
      </c>
      <c r="H287" s="1">
        <v>778</v>
      </c>
      <c r="I287" s="1">
        <v>0</v>
      </c>
      <c r="J287" s="1">
        <v>0</v>
      </c>
      <c r="K287" s="1">
        <v>0</v>
      </c>
      <c r="L287" s="1">
        <v>4.4400000000000004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</row>
    <row r="288" spans="1:19">
      <c r="A288" s="1" t="s">
        <v>448</v>
      </c>
      <c r="B288" s="1" t="s">
        <v>38</v>
      </c>
      <c r="C288" s="1" t="s">
        <v>161</v>
      </c>
      <c r="D288" s="1" t="s">
        <v>172</v>
      </c>
      <c r="E288" s="1">
        <v>4</v>
      </c>
      <c r="F288" s="1">
        <v>0</v>
      </c>
      <c r="G288" s="1">
        <v>29</v>
      </c>
      <c r="H288" s="1">
        <v>764</v>
      </c>
      <c r="I288" s="1">
        <v>0</v>
      </c>
      <c r="J288" s="1">
        <v>0</v>
      </c>
      <c r="K288" s="1">
        <v>0</v>
      </c>
      <c r="L288" s="1">
        <v>7.25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</row>
    <row r="289" spans="1:19">
      <c r="A289" s="1" t="s">
        <v>449</v>
      </c>
      <c r="B289" s="1" t="s">
        <v>3</v>
      </c>
      <c r="C289" s="1" t="s">
        <v>161</v>
      </c>
      <c r="D289" s="1" t="s">
        <v>162</v>
      </c>
      <c r="E289" s="1">
        <v>4.5</v>
      </c>
      <c r="F289" s="1">
        <v>0</v>
      </c>
      <c r="G289" s="1">
        <v>22</v>
      </c>
      <c r="H289" s="1">
        <v>759</v>
      </c>
      <c r="I289" s="1">
        <v>0</v>
      </c>
      <c r="J289" s="1">
        <v>0</v>
      </c>
      <c r="K289" s="1">
        <v>0</v>
      </c>
      <c r="L289" s="1">
        <v>4.8899999999999997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</row>
    <row r="290" spans="1:19">
      <c r="A290" s="1" t="s">
        <v>450</v>
      </c>
      <c r="B290" s="1" t="s">
        <v>3</v>
      </c>
      <c r="C290" s="1" t="s">
        <v>181</v>
      </c>
      <c r="D290" s="1" t="s">
        <v>162</v>
      </c>
      <c r="E290" s="1">
        <v>10.5</v>
      </c>
      <c r="F290" s="1">
        <v>0</v>
      </c>
      <c r="G290" s="1">
        <v>46</v>
      </c>
      <c r="H290" s="1">
        <v>752</v>
      </c>
      <c r="I290" s="1">
        <v>0</v>
      </c>
      <c r="J290" s="1">
        <v>0</v>
      </c>
      <c r="K290" s="1">
        <v>0</v>
      </c>
      <c r="L290" s="1">
        <v>4.38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</row>
    <row r="291" spans="1:19">
      <c r="A291" s="1" t="s">
        <v>451</v>
      </c>
      <c r="B291" s="1" t="s">
        <v>12</v>
      </c>
      <c r="C291" s="1" t="s">
        <v>169</v>
      </c>
      <c r="D291" s="1" t="s">
        <v>162</v>
      </c>
      <c r="E291" s="1">
        <v>6</v>
      </c>
      <c r="F291" s="1">
        <v>0</v>
      </c>
      <c r="G291" s="1">
        <v>44</v>
      </c>
      <c r="H291" s="1">
        <v>749</v>
      </c>
      <c r="I291" s="1">
        <v>0</v>
      </c>
      <c r="J291" s="1">
        <v>0</v>
      </c>
      <c r="K291" s="1">
        <v>0</v>
      </c>
      <c r="L291" s="1">
        <v>7.33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</row>
    <row r="292" spans="1:19">
      <c r="A292" s="1" t="s">
        <v>452</v>
      </c>
      <c r="B292" s="1" t="s">
        <v>17</v>
      </c>
      <c r="C292" s="1" t="s">
        <v>161</v>
      </c>
      <c r="D292" s="1" t="s">
        <v>162</v>
      </c>
      <c r="E292" s="1">
        <v>5</v>
      </c>
      <c r="F292" s="1">
        <v>0</v>
      </c>
      <c r="G292" s="1">
        <v>22</v>
      </c>
      <c r="H292" s="1">
        <v>741</v>
      </c>
      <c r="I292" s="1">
        <v>0</v>
      </c>
      <c r="J292" s="1">
        <v>0</v>
      </c>
      <c r="K292" s="1">
        <v>0</v>
      </c>
      <c r="L292" s="1">
        <v>4.4000000000000004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</row>
    <row r="293" spans="1:19">
      <c r="A293" s="1" t="s">
        <v>453</v>
      </c>
      <c r="B293" s="1" t="s">
        <v>0</v>
      </c>
      <c r="C293" s="1" t="s">
        <v>169</v>
      </c>
      <c r="D293" s="1" t="s">
        <v>189</v>
      </c>
      <c r="E293" s="1">
        <v>6</v>
      </c>
      <c r="F293" s="1">
        <v>0</v>
      </c>
      <c r="G293" s="1">
        <v>36</v>
      </c>
      <c r="H293" s="1">
        <v>729</v>
      </c>
      <c r="I293" s="1">
        <v>0</v>
      </c>
      <c r="J293" s="1">
        <v>0</v>
      </c>
      <c r="K293" s="1">
        <v>0</v>
      </c>
      <c r="L293" s="1">
        <v>6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</row>
    <row r="294" spans="1:19">
      <c r="A294" s="1" t="s">
        <v>454</v>
      </c>
      <c r="B294" s="1" t="s">
        <v>26</v>
      </c>
      <c r="C294" s="1" t="s">
        <v>167</v>
      </c>
      <c r="D294" s="1" t="s">
        <v>162</v>
      </c>
      <c r="E294" s="1">
        <v>4</v>
      </c>
      <c r="F294" s="1">
        <v>0</v>
      </c>
      <c r="G294" s="1">
        <v>31</v>
      </c>
      <c r="H294" s="1">
        <v>720</v>
      </c>
      <c r="I294" s="1">
        <v>0</v>
      </c>
      <c r="J294" s="1">
        <v>0</v>
      </c>
      <c r="K294" s="1">
        <v>0</v>
      </c>
      <c r="L294" s="1">
        <v>7.75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</row>
    <row r="295" spans="1:19">
      <c r="A295" s="1" t="s">
        <v>455</v>
      </c>
      <c r="B295" s="1" t="s">
        <v>3</v>
      </c>
      <c r="C295" s="1" t="s">
        <v>161</v>
      </c>
      <c r="D295" s="1" t="s">
        <v>162</v>
      </c>
      <c r="E295" s="1">
        <v>4.5</v>
      </c>
      <c r="F295" s="1">
        <v>0</v>
      </c>
      <c r="G295" s="1">
        <v>25</v>
      </c>
      <c r="H295" s="1">
        <v>712</v>
      </c>
      <c r="I295" s="1">
        <v>0</v>
      </c>
      <c r="J295" s="1">
        <v>0</v>
      </c>
      <c r="K295" s="1">
        <v>0</v>
      </c>
      <c r="L295" s="1">
        <v>5.56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</row>
    <row r="296" spans="1:19">
      <c r="A296" s="1" t="s">
        <v>456</v>
      </c>
      <c r="B296" s="1" t="s">
        <v>12</v>
      </c>
      <c r="C296" s="1" t="s">
        <v>161</v>
      </c>
      <c r="D296" s="1" t="s">
        <v>162</v>
      </c>
      <c r="E296" s="1">
        <v>4.5</v>
      </c>
      <c r="F296" s="1">
        <v>0</v>
      </c>
      <c r="G296" s="1">
        <v>20</v>
      </c>
      <c r="H296" s="1">
        <v>707</v>
      </c>
      <c r="I296" s="1">
        <v>0</v>
      </c>
      <c r="J296" s="1">
        <v>0</v>
      </c>
      <c r="K296" s="1">
        <v>0</v>
      </c>
      <c r="L296" s="1">
        <v>4.4400000000000004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</row>
    <row r="297" spans="1:19">
      <c r="A297" s="1" t="s">
        <v>457</v>
      </c>
      <c r="B297" s="1" t="s">
        <v>23</v>
      </c>
      <c r="C297" s="1" t="s">
        <v>169</v>
      </c>
      <c r="D297" s="1" t="s">
        <v>162</v>
      </c>
      <c r="E297" s="1">
        <v>4.5</v>
      </c>
      <c r="F297" s="1">
        <v>0</v>
      </c>
      <c r="G297" s="1">
        <v>28</v>
      </c>
      <c r="H297" s="1">
        <v>702</v>
      </c>
      <c r="I297" s="1">
        <v>0</v>
      </c>
      <c r="J297" s="1">
        <v>0</v>
      </c>
      <c r="K297" s="1">
        <v>0</v>
      </c>
      <c r="L297" s="1">
        <v>6.22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</row>
    <row r="298" spans="1:19">
      <c r="A298" s="1" t="s">
        <v>414</v>
      </c>
      <c r="B298" s="1" t="s">
        <v>12</v>
      </c>
      <c r="C298" s="1" t="s">
        <v>169</v>
      </c>
      <c r="D298" s="1" t="s">
        <v>162</v>
      </c>
      <c r="E298" s="1">
        <v>5</v>
      </c>
      <c r="F298" s="1">
        <v>0</v>
      </c>
      <c r="G298" s="1">
        <v>21</v>
      </c>
      <c r="H298" s="1">
        <v>692</v>
      </c>
      <c r="I298" s="1">
        <v>0</v>
      </c>
      <c r="J298" s="1">
        <v>0</v>
      </c>
      <c r="K298" s="1">
        <v>0</v>
      </c>
      <c r="L298" s="1">
        <v>4.2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</row>
    <row r="299" spans="1:19">
      <c r="A299" s="1" t="s">
        <v>458</v>
      </c>
      <c r="B299" s="1" t="s">
        <v>20</v>
      </c>
      <c r="C299" s="1" t="s">
        <v>169</v>
      </c>
      <c r="D299" s="1" t="s">
        <v>172</v>
      </c>
      <c r="E299" s="1">
        <v>4.5</v>
      </c>
      <c r="F299" s="1">
        <v>0</v>
      </c>
      <c r="G299" s="1">
        <v>22</v>
      </c>
      <c r="H299" s="1">
        <v>664</v>
      </c>
      <c r="I299" s="1">
        <v>0</v>
      </c>
      <c r="J299" s="1">
        <v>0</v>
      </c>
      <c r="K299" s="1">
        <v>0</v>
      </c>
      <c r="L299" s="1">
        <v>4.8899999999999997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</row>
    <row r="300" spans="1:19">
      <c r="A300" s="1" t="s">
        <v>459</v>
      </c>
      <c r="B300" s="1" t="s">
        <v>8</v>
      </c>
      <c r="C300" s="1" t="s">
        <v>161</v>
      </c>
      <c r="D300" s="1" t="s">
        <v>162</v>
      </c>
      <c r="E300" s="1">
        <v>4.5</v>
      </c>
      <c r="F300" s="1">
        <v>0</v>
      </c>
      <c r="G300" s="1">
        <v>16</v>
      </c>
      <c r="H300" s="1">
        <v>653</v>
      </c>
      <c r="I300" s="1">
        <v>0</v>
      </c>
      <c r="J300" s="1">
        <v>0</v>
      </c>
      <c r="K300" s="1">
        <v>0</v>
      </c>
      <c r="L300" s="1">
        <v>3.56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</row>
    <row r="301" spans="1:19">
      <c r="A301" s="1" t="s">
        <v>460</v>
      </c>
      <c r="B301" s="1" t="s">
        <v>20</v>
      </c>
      <c r="C301" s="1" t="s">
        <v>169</v>
      </c>
      <c r="D301" s="1" t="s">
        <v>172</v>
      </c>
      <c r="E301" s="1">
        <v>4.5</v>
      </c>
      <c r="F301" s="1">
        <v>0</v>
      </c>
      <c r="G301" s="1">
        <v>31</v>
      </c>
      <c r="H301" s="1">
        <v>652</v>
      </c>
      <c r="I301" s="1">
        <v>0</v>
      </c>
      <c r="J301" s="1">
        <v>0</v>
      </c>
      <c r="K301" s="1">
        <v>0</v>
      </c>
      <c r="L301" s="1">
        <v>6.89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</row>
    <row r="302" spans="1:19">
      <c r="A302" s="1" t="s">
        <v>461</v>
      </c>
      <c r="B302" s="1" t="s">
        <v>20</v>
      </c>
      <c r="C302" s="1" t="s">
        <v>161</v>
      </c>
      <c r="D302" s="1" t="s">
        <v>172</v>
      </c>
      <c r="E302" s="1">
        <v>4</v>
      </c>
      <c r="F302" s="1">
        <v>0</v>
      </c>
      <c r="G302" s="1">
        <v>24</v>
      </c>
      <c r="H302" s="1">
        <v>652</v>
      </c>
      <c r="I302" s="1">
        <v>0</v>
      </c>
      <c r="J302" s="1">
        <v>0</v>
      </c>
      <c r="K302" s="1">
        <v>0</v>
      </c>
      <c r="L302" s="1">
        <v>6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</row>
    <row r="303" spans="1:19">
      <c r="A303" s="1" t="s">
        <v>462</v>
      </c>
      <c r="B303" s="1" t="s">
        <v>23</v>
      </c>
      <c r="C303" s="1" t="s">
        <v>161</v>
      </c>
      <c r="D303" s="1" t="s">
        <v>162</v>
      </c>
      <c r="E303" s="1">
        <v>5.5</v>
      </c>
      <c r="F303" s="1">
        <v>0</v>
      </c>
      <c r="G303" s="1">
        <v>40</v>
      </c>
      <c r="H303" s="1">
        <v>647</v>
      </c>
      <c r="I303" s="1">
        <v>0</v>
      </c>
      <c r="J303" s="1">
        <v>0</v>
      </c>
      <c r="K303" s="1">
        <v>0</v>
      </c>
      <c r="L303" s="1">
        <v>7.27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</row>
    <row r="304" spans="1:19">
      <c r="A304" s="1" t="s">
        <v>463</v>
      </c>
      <c r="B304" s="1" t="s">
        <v>38</v>
      </c>
      <c r="C304" s="1" t="s">
        <v>161</v>
      </c>
      <c r="D304" s="1" t="s">
        <v>172</v>
      </c>
      <c r="E304" s="1">
        <v>4</v>
      </c>
      <c r="F304" s="1">
        <v>0</v>
      </c>
      <c r="G304" s="1">
        <v>22</v>
      </c>
      <c r="H304" s="1">
        <v>633</v>
      </c>
      <c r="I304" s="1">
        <v>0</v>
      </c>
      <c r="J304" s="1">
        <v>0</v>
      </c>
      <c r="K304" s="1">
        <v>0</v>
      </c>
      <c r="L304" s="1">
        <v>5.5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</row>
    <row r="305" spans="1:19">
      <c r="A305" s="1" t="s">
        <v>464</v>
      </c>
      <c r="B305" s="1" t="s">
        <v>28</v>
      </c>
      <c r="C305" s="1" t="s">
        <v>161</v>
      </c>
      <c r="D305" s="1" t="s">
        <v>172</v>
      </c>
      <c r="E305" s="1">
        <v>4.5</v>
      </c>
      <c r="F305" s="1">
        <v>0</v>
      </c>
      <c r="G305" s="1">
        <v>13</v>
      </c>
      <c r="H305" s="1">
        <v>630</v>
      </c>
      <c r="I305" s="1">
        <v>0</v>
      </c>
      <c r="J305" s="1">
        <v>0</v>
      </c>
      <c r="K305" s="1">
        <v>0</v>
      </c>
      <c r="L305" s="1">
        <v>2.89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</row>
    <row r="306" spans="1:19">
      <c r="A306" s="1" t="s">
        <v>465</v>
      </c>
      <c r="B306" s="1" t="s">
        <v>15</v>
      </c>
      <c r="C306" s="1" t="s">
        <v>181</v>
      </c>
      <c r="D306" s="1" t="s">
        <v>162</v>
      </c>
      <c r="E306" s="1">
        <v>4.5</v>
      </c>
      <c r="F306" s="1">
        <v>0</v>
      </c>
      <c r="G306" s="1">
        <v>30</v>
      </c>
      <c r="H306" s="1">
        <v>627</v>
      </c>
      <c r="I306" s="1">
        <v>0</v>
      </c>
      <c r="J306" s="1">
        <v>0</v>
      </c>
      <c r="K306" s="1">
        <v>0</v>
      </c>
      <c r="L306" s="1">
        <v>6.67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</row>
    <row r="307" spans="1:19">
      <c r="A307" s="1" t="s">
        <v>466</v>
      </c>
      <c r="B307" s="1" t="s">
        <v>3</v>
      </c>
      <c r="C307" s="1" t="s">
        <v>169</v>
      </c>
      <c r="D307" s="1" t="s">
        <v>162</v>
      </c>
      <c r="E307" s="1">
        <v>5</v>
      </c>
      <c r="F307" s="1">
        <v>0</v>
      </c>
      <c r="G307" s="1">
        <v>21</v>
      </c>
      <c r="H307" s="1">
        <v>617</v>
      </c>
      <c r="I307" s="1">
        <v>0</v>
      </c>
      <c r="J307" s="1">
        <v>0</v>
      </c>
      <c r="K307" s="1">
        <v>0</v>
      </c>
      <c r="L307" s="1">
        <v>4.2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</row>
    <row r="308" spans="1:19">
      <c r="A308" s="1" t="s">
        <v>467</v>
      </c>
      <c r="B308" s="1" t="s">
        <v>24</v>
      </c>
      <c r="C308" s="1" t="s">
        <v>167</v>
      </c>
      <c r="D308" s="1" t="s">
        <v>162</v>
      </c>
      <c r="E308" s="1">
        <v>4.5</v>
      </c>
      <c r="F308" s="1">
        <v>0</v>
      </c>
      <c r="G308" s="1">
        <v>22</v>
      </c>
      <c r="H308" s="1">
        <v>617</v>
      </c>
      <c r="I308" s="1">
        <v>0</v>
      </c>
      <c r="J308" s="1">
        <v>0</v>
      </c>
      <c r="K308" s="1">
        <v>0</v>
      </c>
      <c r="L308" s="1">
        <v>4.8899999999999997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</row>
    <row r="309" spans="1:19">
      <c r="A309" s="1" t="s">
        <v>468</v>
      </c>
      <c r="B309" s="1" t="s">
        <v>0</v>
      </c>
      <c r="C309" s="1" t="s">
        <v>167</v>
      </c>
      <c r="D309" s="1" t="s">
        <v>189</v>
      </c>
      <c r="E309" s="1">
        <v>5.5</v>
      </c>
      <c r="F309" s="1">
        <v>0</v>
      </c>
      <c r="G309" s="1">
        <v>38</v>
      </c>
      <c r="H309" s="1">
        <v>607</v>
      </c>
      <c r="I309" s="1">
        <v>0</v>
      </c>
      <c r="J309" s="1">
        <v>0</v>
      </c>
      <c r="K309" s="1">
        <v>0</v>
      </c>
      <c r="L309" s="1">
        <v>6.91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</row>
    <row r="310" spans="1:19">
      <c r="A310" s="1" t="s">
        <v>469</v>
      </c>
      <c r="B310" s="1" t="s">
        <v>34</v>
      </c>
      <c r="C310" s="1" t="s">
        <v>161</v>
      </c>
      <c r="D310" s="1" t="s">
        <v>172</v>
      </c>
      <c r="E310" s="1">
        <v>4.5</v>
      </c>
      <c r="F310" s="1">
        <v>0</v>
      </c>
      <c r="G310" s="1">
        <v>15</v>
      </c>
      <c r="H310" s="1">
        <v>605</v>
      </c>
      <c r="I310" s="1">
        <v>0</v>
      </c>
      <c r="J310" s="1">
        <v>0</v>
      </c>
      <c r="K310" s="1">
        <v>0</v>
      </c>
      <c r="L310" s="1">
        <v>3.33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</row>
    <row r="311" spans="1:19">
      <c r="A311" s="1" t="s">
        <v>470</v>
      </c>
      <c r="B311" s="1" t="s">
        <v>10</v>
      </c>
      <c r="C311" s="1" t="s">
        <v>181</v>
      </c>
      <c r="D311" s="1" t="s">
        <v>172</v>
      </c>
      <c r="E311" s="1">
        <v>5</v>
      </c>
      <c r="F311" s="1">
        <v>0</v>
      </c>
      <c r="G311" s="1">
        <v>24</v>
      </c>
      <c r="H311" s="1">
        <v>601</v>
      </c>
      <c r="I311" s="1">
        <v>0</v>
      </c>
      <c r="J311" s="1">
        <v>0</v>
      </c>
      <c r="K311" s="1">
        <v>0</v>
      </c>
      <c r="L311" s="1">
        <v>4.8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</row>
    <row r="312" spans="1:19">
      <c r="A312" s="1" t="s">
        <v>471</v>
      </c>
      <c r="B312" s="1" t="s">
        <v>8</v>
      </c>
      <c r="C312" s="1" t="s">
        <v>161</v>
      </c>
      <c r="D312" s="1" t="s">
        <v>162</v>
      </c>
      <c r="E312" s="1">
        <v>5</v>
      </c>
      <c r="F312" s="1">
        <v>0</v>
      </c>
      <c r="G312" s="1">
        <v>21</v>
      </c>
      <c r="H312" s="1">
        <v>592</v>
      </c>
      <c r="I312" s="1">
        <v>0</v>
      </c>
      <c r="J312" s="1">
        <v>0</v>
      </c>
      <c r="K312" s="1">
        <v>0</v>
      </c>
      <c r="L312" s="1">
        <v>4.2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</row>
    <row r="313" spans="1:19">
      <c r="A313" s="1" t="s">
        <v>472</v>
      </c>
      <c r="B313" s="1" t="s">
        <v>28</v>
      </c>
      <c r="C313" s="1" t="s">
        <v>161</v>
      </c>
      <c r="D313" s="1" t="s">
        <v>172</v>
      </c>
      <c r="E313" s="1">
        <v>4.5</v>
      </c>
      <c r="F313" s="1">
        <v>0</v>
      </c>
      <c r="G313" s="1">
        <v>19</v>
      </c>
      <c r="H313" s="1">
        <v>588</v>
      </c>
      <c r="I313" s="1">
        <v>0</v>
      </c>
      <c r="J313" s="1">
        <v>0</v>
      </c>
      <c r="K313" s="1">
        <v>0</v>
      </c>
      <c r="L313" s="1">
        <v>4.22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</row>
    <row r="314" spans="1:19">
      <c r="A314" s="1" t="s">
        <v>473</v>
      </c>
      <c r="B314" s="1" t="s">
        <v>10</v>
      </c>
      <c r="C314" s="1" t="s">
        <v>167</v>
      </c>
      <c r="D314" s="1" t="s">
        <v>172</v>
      </c>
      <c r="E314" s="1">
        <v>4.5</v>
      </c>
      <c r="F314" s="1">
        <v>0</v>
      </c>
      <c r="G314" s="1">
        <v>26</v>
      </c>
      <c r="H314" s="1">
        <v>585</v>
      </c>
      <c r="I314" s="1">
        <v>0</v>
      </c>
      <c r="J314" s="1">
        <v>0</v>
      </c>
      <c r="K314" s="1">
        <v>0</v>
      </c>
      <c r="L314" s="1">
        <v>5.78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</row>
    <row r="315" spans="1:19">
      <c r="A315" s="1" t="s">
        <v>474</v>
      </c>
      <c r="B315" s="1" t="s">
        <v>0</v>
      </c>
      <c r="C315" s="1" t="s">
        <v>169</v>
      </c>
      <c r="D315" s="1" t="s">
        <v>189</v>
      </c>
      <c r="E315" s="1">
        <v>5</v>
      </c>
      <c r="F315" s="1">
        <v>0</v>
      </c>
      <c r="G315" s="1">
        <v>36</v>
      </c>
      <c r="H315" s="1">
        <v>583</v>
      </c>
      <c r="I315" s="1">
        <v>0</v>
      </c>
      <c r="J315" s="1">
        <v>0</v>
      </c>
      <c r="K315" s="1">
        <v>0</v>
      </c>
      <c r="L315" s="1">
        <v>7.2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</row>
    <row r="316" spans="1:19">
      <c r="A316" s="1" t="s">
        <v>475</v>
      </c>
      <c r="B316" s="1" t="s">
        <v>26</v>
      </c>
      <c r="C316" s="1" t="s">
        <v>181</v>
      </c>
      <c r="D316" s="1" t="s">
        <v>162</v>
      </c>
      <c r="E316" s="1">
        <v>6</v>
      </c>
      <c r="F316" s="1">
        <v>0</v>
      </c>
      <c r="G316" s="1">
        <v>27</v>
      </c>
      <c r="H316" s="1">
        <v>577</v>
      </c>
      <c r="I316" s="1">
        <v>0</v>
      </c>
      <c r="J316" s="1">
        <v>0</v>
      </c>
      <c r="K316" s="1">
        <v>0</v>
      </c>
      <c r="L316" s="1">
        <v>4.5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</row>
    <row r="317" spans="1:19">
      <c r="A317" s="1" t="s">
        <v>476</v>
      </c>
      <c r="B317" s="1" t="s">
        <v>24</v>
      </c>
      <c r="C317" s="1" t="s">
        <v>161</v>
      </c>
      <c r="D317" s="1" t="s">
        <v>162</v>
      </c>
      <c r="E317" s="1">
        <v>4.5</v>
      </c>
      <c r="F317" s="1">
        <v>0</v>
      </c>
      <c r="G317" s="1">
        <v>35</v>
      </c>
      <c r="H317" s="1">
        <v>574</v>
      </c>
      <c r="I317" s="1">
        <v>0</v>
      </c>
      <c r="J317" s="1">
        <v>0</v>
      </c>
      <c r="K317" s="1">
        <v>0</v>
      </c>
      <c r="L317" s="1">
        <v>7.78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</row>
    <row r="318" spans="1:19">
      <c r="A318" s="1" t="s">
        <v>477</v>
      </c>
      <c r="B318" s="1" t="s">
        <v>28</v>
      </c>
      <c r="C318" s="1" t="s">
        <v>169</v>
      </c>
      <c r="D318" s="1" t="s">
        <v>172</v>
      </c>
      <c r="E318" s="1">
        <v>4.5</v>
      </c>
      <c r="F318" s="1">
        <v>0</v>
      </c>
      <c r="G318" s="1">
        <v>15</v>
      </c>
      <c r="H318" s="1">
        <v>534</v>
      </c>
      <c r="I318" s="1">
        <v>0</v>
      </c>
      <c r="J318" s="1">
        <v>0</v>
      </c>
      <c r="K318" s="1">
        <v>0</v>
      </c>
      <c r="L318" s="1">
        <v>3.33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</row>
    <row r="319" spans="1:19">
      <c r="A319" s="1" t="s">
        <v>478</v>
      </c>
      <c r="B319" s="1" t="s">
        <v>1</v>
      </c>
      <c r="C319" s="1" t="s">
        <v>161</v>
      </c>
      <c r="D319" s="1" t="s">
        <v>162</v>
      </c>
      <c r="E319" s="1">
        <v>4.5</v>
      </c>
      <c r="F319" s="1">
        <v>0</v>
      </c>
      <c r="G319" s="1">
        <v>15</v>
      </c>
      <c r="H319" s="1">
        <v>526</v>
      </c>
      <c r="I319" s="1">
        <v>0</v>
      </c>
      <c r="J319" s="1">
        <v>0</v>
      </c>
      <c r="K319" s="1">
        <v>0</v>
      </c>
      <c r="L319" s="1">
        <v>3.33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</row>
    <row r="320" spans="1:19">
      <c r="A320" s="1" t="s">
        <v>479</v>
      </c>
      <c r="B320" s="1" t="s">
        <v>28</v>
      </c>
      <c r="C320" s="1" t="s">
        <v>181</v>
      </c>
      <c r="D320" s="1" t="s">
        <v>172</v>
      </c>
      <c r="E320" s="1">
        <v>4.5</v>
      </c>
      <c r="F320" s="1">
        <v>0</v>
      </c>
      <c r="G320" s="1">
        <v>21</v>
      </c>
      <c r="H320" s="1">
        <v>514</v>
      </c>
      <c r="I320" s="1">
        <v>0</v>
      </c>
      <c r="J320" s="1">
        <v>0</v>
      </c>
      <c r="K320" s="1">
        <v>0</v>
      </c>
      <c r="L320" s="1">
        <v>4.67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</row>
    <row r="321" spans="1:19">
      <c r="A321" s="1" t="s">
        <v>480</v>
      </c>
      <c r="B321" s="1" t="s">
        <v>1</v>
      </c>
      <c r="C321" s="1" t="s">
        <v>181</v>
      </c>
      <c r="D321" s="1" t="s">
        <v>162</v>
      </c>
      <c r="E321" s="1">
        <v>5.5</v>
      </c>
      <c r="F321" s="1">
        <v>0</v>
      </c>
      <c r="G321" s="1">
        <v>27</v>
      </c>
      <c r="H321" s="1">
        <v>487</v>
      </c>
      <c r="I321" s="1">
        <v>0</v>
      </c>
      <c r="J321" s="1">
        <v>0</v>
      </c>
      <c r="K321" s="1">
        <v>0</v>
      </c>
      <c r="L321" s="1">
        <v>4.91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</row>
    <row r="322" spans="1:19">
      <c r="A322" s="1" t="s">
        <v>481</v>
      </c>
      <c r="B322" s="1" t="s">
        <v>38</v>
      </c>
      <c r="C322" s="1" t="s">
        <v>169</v>
      </c>
      <c r="D322" s="1" t="s">
        <v>172</v>
      </c>
      <c r="E322" s="1">
        <v>5</v>
      </c>
      <c r="F322" s="1">
        <v>0</v>
      </c>
      <c r="G322" s="1">
        <v>22</v>
      </c>
      <c r="H322" s="1">
        <v>468</v>
      </c>
      <c r="I322" s="1">
        <v>0</v>
      </c>
      <c r="J322" s="1">
        <v>0</v>
      </c>
      <c r="K322" s="1">
        <v>0</v>
      </c>
      <c r="L322" s="1">
        <v>4.4000000000000004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</row>
    <row r="323" spans="1:19">
      <c r="A323" s="1" t="s">
        <v>482</v>
      </c>
      <c r="B323" s="1" t="s">
        <v>24</v>
      </c>
      <c r="C323" s="1" t="s">
        <v>169</v>
      </c>
      <c r="D323" s="1" t="s">
        <v>162</v>
      </c>
      <c r="E323" s="1">
        <v>4.5</v>
      </c>
      <c r="F323" s="1">
        <v>0</v>
      </c>
      <c r="G323" s="1">
        <v>17</v>
      </c>
      <c r="H323" s="1">
        <v>460</v>
      </c>
      <c r="I323" s="1">
        <v>0</v>
      </c>
      <c r="J323" s="1">
        <v>0</v>
      </c>
      <c r="K323" s="1">
        <v>0</v>
      </c>
      <c r="L323" s="1">
        <v>3.78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</row>
    <row r="324" spans="1:19">
      <c r="A324" s="1" t="s">
        <v>483</v>
      </c>
      <c r="B324" s="1" t="s">
        <v>12</v>
      </c>
      <c r="C324" s="1" t="s">
        <v>169</v>
      </c>
      <c r="D324" s="1" t="s">
        <v>162</v>
      </c>
      <c r="E324" s="1">
        <v>4.5</v>
      </c>
      <c r="F324" s="1">
        <v>0</v>
      </c>
      <c r="G324" s="1">
        <v>12</v>
      </c>
      <c r="H324" s="1">
        <v>459</v>
      </c>
      <c r="I324" s="1">
        <v>0</v>
      </c>
      <c r="J324" s="1">
        <v>0</v>
      </c>
      <c r="K324" s="1">
        <v>0</v>
      </c>
      <c r="L324" s="1">
        <v>2.67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</row>
    <row r="325" spans="1:19">
      <c r="A325" s="1" t="s">
        <v>484</v>
      </c>
      <c r="B325" s="1" t="s">
        <v>0</v>
      </c>
      <c r="C325" s="1" t="s">
        <v>181</v>
      </c>
      <c r="D325" s="1" t="s">
        <v>189</v>
      </c>
      <c r="E325" s="1">
        <v>5</v>
      </c>
      <c r="F325" s="1">
        <v>0</v>
      </c>
      <c r="G325" s="1">
        <v>19</v>
      </c>
      <c r="H325" s="1">
        <v>458</v>
      </c>
      <c r="I325" s="1">
        <v>0</v>
      </c>
      <c r="J325" s="1">
        <v>0</v>
      </c>
      <c r="K325" s="1">
        <v>0</v>
      </c>
      <c r="L325" s="1">
        <v>3.8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</row>
    <row r="326" spans="1:19">
      <c r="A326" s="1" t="s">
        <v>485</v>
      </c>
      <c r="B326" s="1" t="s">
        <v>5</v>
      </c>
      <c r="C326" s="1" t="s">
        <v>169</v>
      </c>
      <c r="D326" s="1" t="s">
        <v>162</v>
      </c>
      <c r="E326" s="1">
        <v>4.5</v>
      </c>
      <c r="F326" s="1">
        <v>0</v>
      </c>
      <c r="G326" s="1">
        <v>13</v>
      </c>
      <c r="H326" s="1">
        <v>450</v>
      </c>
      <c r="I326" s="1">
        <v>0</v>
      </c>
      <c r="J326" s="1">
        <v>0</v>
      </c>
      <c r="K326" s="1">
        <v>0</v>
      </c>
      <c r="L326" s="1">
        <v>2.89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</row>
    <row r="327" spans="1:19">
      <c r="A327" s="1" t="s">
        <v>486</v>
      </c>
      <c r="B327" s="1" t="s">
        <v>0</v>
      </c>
      <c r="C327" s="1" t="s">
        <v>169</v>
      </c>
      <c r="D327" s="1" t="s">
        <v>189</v>
      </c>
      <c r="E327" s="1">
        <v>5</v>
      </c>
      <c r="F327" s="1">
        <v>0</v>
      </c>
      <c r="G327" s="1">
        <v>19</v>
      </c>
      <c r="H327" s="1">
        <v>447</v>
      </c>
      <c r="I327" s="1">
        <v>0</v>
      </c>
      <c r="J327" s="1">
        <v>0</v>
      </c>
      <c r="K327" s="1">
        <v>0</v>
      </c>
      <c r="L327" s="1">
        <v>3.8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</row>
    <row r="328" spans="1:19">
      <c r="A328" s="1" t="s">
        <v>487</v>
      </c>
      <c r="B328" s="1" t="s">
        <v>0</v>
      </c>
      <c r="C328" s="1" t="s">
        <v>169</v>
      </c>
      <c r="D328" s="1" t="s">
        <v>189</v>
      </c>
      <c r="E328" s="1">
        <v>9</v>
      </c>
      <c r="F328" s="1">
        <v>0</v>
      </c>
      <c r="G328" s="1">
        <v>51</v>
      </c>
      <c r="H328" s="1">
        <v>447</v>
      </c>
      <c r="I328" s="1">
        <v>0</v>
      </c>
      <c r="J328" s="1">
        <v>0</v>
      </c>
      <c r="K328" s="1">
        <v>0</v>
      </c>
      <c r="L328" s="1">
        <v>5.67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</row>
    <row r="329" spans="1:19">
      <c r="A329" s="1" t="s">
        <v>488</v>
      </c>
      <c r="B329" s="1" t="s">
        <v>10</v>
      </c>
      <c r="C329" s="1" t="s">
        <v>169</v>
      </c>
      <c r="D329" s="1" t="s">
        <v>172</v>
      </c>
      <c r="E329" s="1">
        <v>4.5</v>
      </c>
      <c r="F329" s="1">
        <v>0</v>
      </c>
      <c r="G329" s="1">
        <v>14</v>
      </c>
      <c r="H329" s="1">
        <v>416</v>
      </c>
      <c r="I329" s="1">
        <v>0</v>
      </c>
      <c r="J329" s="1">
        <v>0</v>
      </c>
      <c r="K329" s="1">
        <v>0</v>
      </c>
      <c r="L329" s="1">
        <v>3.11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</row>
    <row r="330" spans="1:19">
      <c r="A330" s="1" t="s">
        <v>489</v>
      </c>
      <c r="B330" s="1" t="s">
        <v>1</v>
      </c>
      <c r="C330" s="1" t="s">
        <v>169</v>
      </c>
      <c r="D330" s="1" t="s">
        <v>162</v>
      </c>
      <c r="E330" s="1">
        <v>5</v>
      </c>
      <c r="F330" s="1">
        <v>0</v>
      </c>
      <c r="G330" s="1">
        <v>14</v>
      </c>
      <c r="H330" s="1">
        <v>416</v>
      </c>
      <c r="I330" s="1">
        <v>0</v>
      </c>
      <c r="J330" s="1">
        <v>0</v>
      </c>
      <c r="K330" s="1">
        <v>0</v>
      </c>
      <c r="L330" s="1">
        <v>2.8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</row>
    <row r="331" spans="1:19">
      <c r="A331" s="1" t="s">
        <v>490</v>
      </c>
      <c r="B331" s="1" t="s">
        <v>1</v>
      </c>
      <c r="C331" s="1" t="s">
        <v>161</v>
      </c>
      <c r="D331" s="1" t="s">
        <v>162</v>
      </c>
      <c r="E331" s="1">
        <v>4</v>
      </c>
      <c r="F331" s="1">
        <v>0</v>
      </c>
      <c r="G331" s="1">
        <v>19</v>
      </c>
      <c r="H331" s="1">
        <v>415</v>
      </c>
      <c r="I331" s="1">
        <v>0</v>
      </c>
      <c r="J331" s="1">
        <v>0</v>
      </c>
      <c r="K331" s="1">
        <v>0</v>
      </c>
      <c r="L331" s="1">
        <v>4.75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</row>
    <row r="332" spans="1:19">
      <c r="A332" s="1" t="s">
        <v>491</v>
      </c>
      <c r="B332" s="1" t="s">
        <v>3</v>
      </c>
      <c r="C332" s="1" t="s">
        <v>181</v>
      </c>
      <c r="D332" s="1" t="s">
        <v>162</v>
      </c>
      <c r="E332" s="1">
        <v>5.5</v>
      </c>
      <c r="F332" s="1">
        <v>0</v>
      </c>
      <c r="G332" s="1">
        <v>19</v>
      </c>
      <c r="H332" s="1">
        <v>399</v>
      </c>
      <c r="I332" s="1">
        <v>0</v>
      </c>
      <c r="J332" s="1">
        <v>0</v>
      </c>
      <c r="K332" s="1">
        <v>0</v>
      </c>
      <c r="L332" s="1">
        <v>3.45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</row>
    <row r="333" spans="1:19">
      <c r="A333" s="1" t="s">
        <v>492</v>
      </c>
      <c r="B333" s="1" t="s">
        <v>38</v>
      </c>
      <c r="C333" s="1" t="s">
        <v>169</v>
      </c>
      <c r="D333" s="1" t="s">
        <v>172</v>
      </c>
      <c r="E333" s="1">
        <v>5</v>
      </c>
      <c r="F333" s="1">
        <v>0</v>
      </c>
      <c r="G333" s="1">
        <v>12</v>
      </c>
      <c r="H333" s="1">
        <v>359</v>
      </c>
      <c r="I333" s="1">
        <v>0</v>
      </c>
      <c r="J333" s="1">
        <v>0</v>
      </c>
      <c r="K333" s="1">
        <v>0</v>
      </c>
      <c r="L333" s="1">
        <v>2.4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</row>
    <row r="334" spans="1:19">
      <c r="A334" s="1" t="s">
        <v>297</v>
      </c>
      <c r="B334" s="1" t="s">
        <v>8</v>
      </c>
      <c r="C334" s="1" t="s">
        <v>181</v>
      </c>
      <c r="D334" s="1" t="s">
        <v>162</v>
      </c>
      <c r="E334" s="1">
        <v>5</v>
      </c>
      <c r="F334" s="1">
        <v>0</v>
      </c>
      <c r="G334" s="1">
        <v>16</v>
      </c>
      <c r="H334" s="1">
        <v>357</v>
      </c>
      <c r="I334" s="1">
        <v>0</v>
      </c>
      <c r="J334" s="1">
        <v>0</v>
      </c>
      <c r="K334" s="1">
        <v>0</v>
      </c>
      <c r="L334" s="1">
        <v>3.2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</row>
    <row r="335" spans="1:19">
      <c r="A335" s="1" t="s">
        <v>493</v>
      </c>
      <c r="B335" s="1" t="s">
        <v>12</v>
      </c>
      <c r="C335" s="1" t="s">
        <v>167</v>
      </c>
      <c r="D335" s="1" t="s">
        <v>162</v>
      </c>
      <c r="E335" s="1">
        <v>4.5</v>
      </c>
      <c r="F335" s="1">
        <v>0</v>
      </c>
      <c r="G335" s="1">
        <v>14</v>
      </c>
      <c r="H335" s="1">
        <v>357</v>
      </c>
      <c r="I335" s="1">
        <v>0</v>
      </c>
      <c r="J335" s="1">
        <v>0</v>
      </c>
      <c r="K335" s="1">
        <v>0</v>
      </c>
      <c r="L335" s="1">
        <v>3.11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</row>
    <row r="336" spans="1:19">
      <c r="A336" s="1" t="s">
        <v>494</v>
      </c>
      <c r="B336" s="1" t="s">
        <v>0</v>
      </c>
      <c r="C336" s="1" t="s">
        <v>161</v>
      </c>
      <c r="D336" s="1" t="s">
        <v>189</v>
      </c>
      <c r="E336" s="1">
        <v>5</v>
      </c>
      <c r="F336" s="1">
        <v>0</v>
      </c>
      <c r="G336" s="1">
        <v>16</v>
      </c>
      <c r="H336" s="1">
        <v>350</v>
      </c>
      <c r="I336" s="1">
        <v>0</v>
      </c>
      <c r="J336" s="1">
        <v>0</v>
      </c>
      <c r="K336" s="1">
        <v>0</v>
      </c>
      <c r="L336" s="1">
        <v>3.2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</row>
    <row r="337" spans="1:19">
      <c r="A337" s="1" t="s">
        <v>495</v>
      </c>
      <c r="B337" s="1" t="s">
        <v>30</v>
      </c>
      <c r="C337" s="1" t="s">
        <v>169</v>
      </c>
      <c r="D337" s="1" t="s">
        <v>172</v>
      </c>
      <c r="E337" s="1">
        <v>5</v>
      </c>
      <c r="F337" s="1">
        <v>0</v>
      </c>
      <c r="G337" s="1">
        <v>11</v>
      </c>
      <c r="H337" s="1">
        <v>345</v>
      </c>
      <c r="I337" s="1">
        <v>0</v>
      </c>
      <c r="J337" s="1">
        <v>0</v>
      </c>
      <c r="K337" s="1">
        <v>0</v>
      </c>
      <c r="L337" s="1">
        <v>2.2000000000000002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</row>
    <row r="338" spans="1:19">
      <c r="A338" s="1" t="s">
        <v>496</v>
      </c>
      <c r="B338" s="1" t="s">
        <v>26</v>
      </c>
      <c r="C338" s="1" t="s">
        <v>169</v>
      </c>
      <c r="D338" s="1" t="s">
        <v>162</v>
      </c>
      <c r="E338" s="1">
        <v>4.5</v>
      </c>
      <c r="F338" s="1">
        <v>0</v>
      </c>
      <c r="G338" s="1">
        <v>13</v>
      </c>
      <c r="H338" s="1">
        <v>335</v>
      </c>
      <c r="I338" s="1">
        <v>0</v>
      </c>
      <c r="J338" s="1">
        <v>0</v>
      </c>
      <c r="K338" s="1">
        <v>0</v>
      </c>
      <c r="L338" s="1">
        <v>2.89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</row>
    <row r="339" spans="1:19">
      <c r="A339" s="1" t="s">
        <v>497</v>
      </c>
      <c r="B339" s="1" t="s">
        <v>10</v>
      </c>
      <c r="C339" s="1" t="s">
        <v>161</v>
      </c>
      <c r="D339" s="1" t="s">
        <v>172</v>
      </c>
      <c r="E339" s="1">
        <v>4</v>
      </c>
      <c r="F339" s="1">
        <v>0</v>
      </c>
      <c r="G339" s="1">
        <v>7</v>
      </c>
      <c r="H339" s="1">
        <v>329</v>
      </c>
      <c r="I339" s="1">
        <v>0</v>
      </c>
      <c r="J339" s="1">
        <v>0</v>
      </c>
      <c r="K339" s="1">
        <v>0</v>
      </c>
      <c r="L339" s="1">
        <v>1.75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</row>
    <row r="340" spans="1:19">
      <c r="A340" s="1" t="s">
        <v>498</v>
      </c>
      <c r="B340" s="1" t="s">
        <v>24</v>
      </c>
      <c r="C340" s="1" t="s">
        <v>169</v>
      </c>
      <c r="D340" s="1" t="s">
        <v>162</v>
      </c>
      <c r="E340" s="1">
        <v>5.5</v>
      </c>
      <c r="F340" s="1">
        <v>0</v>
      </c>
      <c r="G340" s="1">
        <v>11</v>
      </c>
      <c r="H340" s="1">
        <v>329</v>
      </c>
      <c r="I340" s="1">
        <v>0</v>
      </c>
      <c r="J340" s="1">
        <v>0</v>
      </c>
      <c r="K340" s="1">
        <v>0</v>
      </c>
      <c r="L340" s="1">
        <v>2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</row>
    <row r="341" spans="1:19">
      <c r="A341" s="1" t="s">
        <v>499</v>
      </c>
      <c r="B341" s="1" t="s">
        <v>10</v>
      </c>
      <c r="C341" s="1" t="s">
        <v>169</v>
      </c>
      <c r="D341" s="1" t="s">
        <v>172</v>
      </c>
      <c r="E341" s="1">
        <v>4.5</v>
      </c>
      <c r="F341" s="1">
        <v>0</v>
      </c>
      <c r="G341" s="1">
        <v>9</v>
      </c>
      <c r="H341" s="1">
        <v>320</v>
      </c>
      <c r="I341" s="1">
        <v>0</v>
      </c>
      <c r="J341" s="1">
        <v>0</v>
      </c>
      <c r="K341" s="1">
        <v>0</v>
      </c>
      <c r="L341" s="1">
        <v>2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</row>
    <row r="342" spans="1:19">
      <c r="A342" s="1" t="s">
        <v>500</v>
      </c>
      <c r="B342" s="1" t="s">
        <v>10</v>
      </c>
      <c r="C342" s="1" t="s">
        <v>169</v>
      </c>
      <c r="D342" s="1" t="s">
        <v>172</v>
      </c>
      <c r="E342" s="1">
        <v>5</v>
      </c>
      <c r="F342" s="1">
        <v>0</v>
      </c>
      <c r="G342" s="1">
        <v>18</v>
      </c>
      <c r="H342" s="1">
        <v>317</v>
      </c>
      <c r="I342" s="1">
        <v>0</v>
      </c>
      <c r="J342" s="1">
        <v>0</v>
      </c>
      <c r="K342" s="1">
        <v>0</v>
      </c>
      <c r="L342" s="1">
        <v>3.6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</row>
    <row r="343" spans="1:19">
      <c r="A343" s="1" t="s">
        <v>501</v>
      </c>
      <c r="B343" s="1" t="s">
        <v>23</v>
      </c>
      <c r="C343" s="1" t="s">
        <v>169</v>
      </c>
      <c r="D343" s="1" t="s">
        <v>162</v>
      </c>
      <c r="E343" s="1">
        <v>7.5</v>
      </c>
      <c r="F343" s="1">
        <v>0</v>
      </c>
      <c r="G343" s="1">
        <v>17</v>
      </c>
      <c r="H343" s="1">
        <v>315</v>
      </c>
      <c r="I343" s="1">
        <v>0</v>
      </c>
      <c r="J343" s="1">
        <v>0</v>
      </c>
      <c r="K343" s="1">
        <v>0</v>
      </c>
      <c r="L343" s="1">
        <v>2.27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</row>
    <row r="344" spans="1:19">
      <c r="A344" s="1" t="s">
        <v>502</v>
      </c>
      <c r="B344" s="1" t="s">
        <v>15</v>
      </c>
      <c r="C344" s="1" t="s">
        <v>169</v>
      </c>
      <c r="D344" s="1" t="s">
        <v>162</v>
      </c>
      <c r="E344" s="1">
        <v>5.5</v>
      </c>
      <c r="F344" s="1">
        <v>0</v>
      </c>
      <c r="G344" s="1">
        <v>9</v>
      </c>
      <c r="H344" s="1">
        <v>308</v>
      </c>
      <c r="I344" s="1">
        <v>0</v>
      </c>
      <c r="J344" s="1">
        <v>0</v>
      </c>
      <c r="K344" s="1">
        <v>0</v>
      </c>
      <c r="L344" s="1">
        <v>1.64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</row>
    <row r="345" spans="1:19">
      <c r="A345" s="1" t="s">
        <v>503</v>
      </c>
      <c r="B345" s="1" t="s">
        <v>28</v>
      </c>
      <c r="C345" s="1" t="s">
        <v>181</v>
      </c>
      <c r="D345" s="1" t="s">
        <v>172</v>
      </c>
      <c r="E345" s="1">
        <v>4.5</v>
      </c>
      <c r="F345" s="1">
        <v>0</v>
      </c>
      <c r="G345" s="1">
        <v>17</v>
      </c>
      <c r="H345" s="1">
        <v>289</v>
      </c>
      <c r="I345" s="1">
        <v>0</v>
      </c>
      <c r="J345" s="1">
        <v>0</v>
      </c>
      <c r="K345" s="1">
        <v>0</v>
      </c>
      <c r="L345" s="1">
        <v>3.78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</row>
    <row r="346" spans="1:19">
      <c r="A346" s="1" t="s">
        <v>504</v>
      </c>
      <c r="B346" s="1" t="s">
        <v>10</v>
      </c>
      <c r="C346" s="1" t="s">
        <v>161</v>
      </c>
      <c r="D346" s="1" t="s">
        <v>172</v>
      </c>
      <c r="E346" s="1">
        <v>4.5</v>
      </c>
      <c r="F346" s="1">
        <v>0</v>
      </c>
      <c r="G346" s="1">
        <v>3</v>
      </c>
      <c r="H346" s="1">
        <v>287</v>
      </c>
      <c r="I346" s="1">
        <v>0</v>
      </c>
      <c r="J346" s="1">
        <v>0</v>
      </c>
      <c r="K346" s="1">
        <v>0</v>
      </c>
      <c r="L346" s="1">
        <v>0.67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</row>
    <row r="347" spans="1:19">
      <c r="A347" s="1" t="s">
        <v>505</v>
      </c>
      <c r="B347" s="1" t="s">
        <v>38</v>
      </c>
      <c r="C347" s="1" t="s">
        <v>169</v>
      </c>
      <c r="D347" s="1" t="s">
        <v>172</v>
      </c>
      <c r="E347" s="1">
        <v>5</v>
      </c>
      <c r="F347" s="1">
        <v>0</v>
      </c>
      <c r="G347" s="1">
        <v>25</v>
      </c>
      <c r="H347" s="1">
        <v>284</v>
      </c>
      <c r="I347" s="1">
        <v>0</v>
      </c>
      <c r="J347" s="1">
        <v>0</v>
      </c>
      <c r="K347" s="1">
        <v>0</v>
      </c>
      <c r="L347" s="1">
        <v>5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</row>
    <row r="348" spans="1:19">
      <c r="A348" s="1" t="s">
        <v>506</v>
      </c>
      <c r="B348" s="1" t="s">
        <v>5</v>
      </c>
      <c r="C348" s="1" t="s">
        <v>167</v>
      </c>
      <c r="D348" s="1" t="s">
        <v>162</v>
      </c>
      <c r="E348" s="1">
        <v>4.5</v>
      </c>
      <c r="F348" s="1">
        <v>0</v>
      </c>
      <c r="G348" s="1">
        <v>7</v>
      </c>
      <c r="H348" s="1">
        <v>270</v>
      </c>
      <c r="I348" s="1">
        <v>0</v>
      </c>
      <c r="J348" s="1">
        <v>0</v>
      </c>
      <c r="K348" s="1">
        <v>0</v>
      </c>
      <c r="L348" s="1">
        <v>1.56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</row>
    <row r="349" spans="1:19">
      <c r="A349" s="1" t="s">
        <v>507</v>
      </c>
      <c r="B349" s="1" t="s">
        <v>5</v>
      </c>
      <c r="C349" s="1" t="s">
        <v>167</v>
      </c>
      <c r="D349" s="1" t="s">
        <v>162</v>
      </c>
      <c r="E349" s="1">
        <v>4.5</v>
      </c>
      <c r="F349" s="1">
        <v>0</v>
      </c>
      <c r="G349" s="1">
        <v>15</v>
      </c>
      <c r="H349" s="1">
        <v>270</v>
      </c>
      <c r="I349" s="1">
        <v>0</v>
      </c>
      <c r="J349" s="1">
        <v>0</v>
      </c>
      <c r="K349" s="1">
        <v>0</v>
      </c>
      <c r="L349" s="1">
        <v>3.33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</row>
    <row r="350" spans="1:19">
      <c r="A350" s="1" t="s">
        <v>508</v>
      </c>
      <c r="B350" s="1" t="s">
        <v>30</v>
      </c>
      <c r="C350" s="1" t="s">
        <v>161</v>
      </c>
      <c r="D350" s="1" t="s">
        <v>172</v>
      </c>
      <c r="E350" s="1">
        <v>4</v>
      </c>
      <c r="F350" s="1">
        <v>0</v>
      </c>
      <c r="G350" s="1">
        <v>12</v>
      </c>
      <c r="H350" s="1">
        <v>242</v>
      </c>
      <c r="I350" s="1">
        <v>0</v>
      </c>
      <c r="J350" s="1">
        <v>0</v>
      </c>
      <c r="K350" s="1">
        <v>0</v>
      </c>
      <c r="L350" s="1">
        <v>3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</row>
    <row r="351" spans="1:19">
      <c r="A351" s="1" t="s">
        <v>509</v>
      </c>
      <c r="B351" s="1" t="s">
        <v>24</v>
      </c>
      <c r="C351" s="1" t="s">
        <v>161</v>
      </c>
      <c r="D351" s="1" t="s">
        <v>162</v>
      </c>
      <c r="E351" s="1">
        <v>4</v>
      </c>
      <c r="F351" s="1">
        <v>0</v>
      </c>
      <c r="G351" s="1">
        <v>7</v>
      </c>
      <c r="H351" s="1">
        <v>226</v>
      </c>
      <c r="I351" s="1">
        <v>0</v>
      </c>
      <c r="J351" s="1">
        <v>0</v>
      </c>
      <c r="K351" s="1">
        <v>0</v>
      </c>
      <c r="L351" s="1">
        <v>1.75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</row>
    <row r="352" spans="1:19">
      <c r="A352" s="1" t="s">
        <v>510</v>
      </c>
      <c r="B352" s="1" t="s">
        <v>20</v>
      </c>
      <c r="C352" s="1" t="s">
        <v>167</v>
      </c>
      <c r="D352" s="1" t="s">
        <v>172</v>
      </c>
      <c r="E352" s="1">
        <v>4</v>
      </c>
      <c r="F352" s="1">
        <v>0</v>
      </c>
      <c r="G352" s="1">
        <v>5</v>
      </c>
      <c r="H352" s="1">
        <v>225</v>
      </c>
      <c r="I352" s="1">
        <v>0</v>
      </c>
      <c r="J352" s="1">
        <v>0</v>
      </c>
      <c r="K352" s="1">
        <v>0</v>
      </c>
      <c r="L352" s="1">
        <v>1.25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</row>
    <row r="353" spans="1:19">
      <c r="A353" s="1" t="s">
        <v>511</v>
      </c>
      <c r="B353" s="1" t="s">
        <v>34</v>
      </c>
      <c r="C353" s="1" t="s">
        <v>167</v>
      </c>
      <c r="D353" s="1" t="s">
        <v>172</v>
      </c>
      <c r="E353" s="1">
        <v>4</v>
      </c>
      <c r="F353" s="1">
        <v>0</v>
      </c>
      <c r="G353" s="1">
        <v>9</v>
      </c>
      <c r="H353" s="1">
        <v>216</v>
      </c>
      <c r="I353" s="1">
        <v>0</v>
      </c>
      <c r="J353" s="1">
        <v>0</v>
      </c>
      <c r="K353" s="1">
        <v>0</v>
      </c>
      <c r="L353" s="1">
        <v>2.25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</row>
    <row r="354" spans="1:19">
      <c r="A354" s="1" t="s">
        <v>512</v>
      </c>
      <c r="B354" s="1" t="s">
        <v>20</v>
      </c>
      <c r="C354" s="1" t="s">
        <v>181</v>
      </c>
      <c r="D354" s="1" t="s">
        <v>172</v>
      </c>
      <c r="E354" s="1">
        <v>4.5</v>
      </c>
      <c r="F354" s="1">
        <v>0</v>
      </c>
      <c r="G354" s="1">
        <v>14</v>
      </c>
      <c r="H354" s="1">
        <v>211</v>
      </c>
      <c r="I354" s="1">
        <v>0</v>
      </c>
      <c r="J354" s="1">
        <v>0</v>
      </c>
      <c r="K354" s="1">
        <v>0</v>
      </c>
      <c r="L354" s="1">
        <v>3.11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</row>
    <row r="355" spans="1:19">
      <c r="A355" s="1" t="s">
        <v>513</v>
      </c>
      <c r="B355" s="1" t="s">
        <v>3</v>
      </c>
      <c r="C355" s="1" t="s">
        <v>161</v>
      </c>
      <c r="D355" s="1" t="s">
        <v>162</v>
      </c>
      <c r="E355" s="1">
        <v>4.5</v>
      </c>
      <c r="F355" s="1">
        <v>0</v>
      </c>
      <c r="G355" s="1">
        <v>9</v>
      </c>
      <c r="H355" s="1">
        <v>205</v>
      </c>
      <c r="I355" s="1">
        <v>0</v>
      </c>
      <c r="J355" s="1">
        <v>0</v>
      </c>
      <c r="K355" s="1">
        <v>0</v>
      </c>
      <c r="L355" s="1">
        <v>2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</row>
    <row r="356" spans="1:19">
      <c r="A356" s="1" t="s">
        <v>514</v>
      </c>
      <c r="B356" s="1" t="s">
        <v>5</v>
      </c>
      <c r="C356" s="1" t="s">
        <v>169</v>
      </c>
      <c r="D356" s="1" t="s">
        <v>162</v>
      </c>
      <c r="E356" s="1">
        <v>5</v>
      </c>
      <c r="F356" s="1">
        <v>0</v>
      </c>
      <c r="G356" s="1">
        <v>8</v>
      </c>
      <c r="H356" s="1">
        <v>194</v>
      </c>
      <c r="I356" s="1">
        <v>0</v>
      </c>
      <c r="J356" s="1">
        <v>0</v>
      </c>
      <c r="K356" s="1">
        <v>0</v>
      </c>
      <c r="L356" s="1">
        <v>1.6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</row>
    <row r="357" spans="1:19">
      <c r="A357" s="1" t="s">
        <v>515</v>
      </c>
      <c r="B357" s="1" t="s">
        <v>17</v>
      </c>
      <c r="C357" s="1" t="s">
        <v>167</v>
      </c>
      <c r="D357" s="1" t="s">
        <v>162</v>
      </c>
      <c r="E357" s="1">
        <v>5</v>
      </c>
      <c r="F357" s="1">
        <v>0</v>
      </c>
      <c r="G357" s="1">
        <v>3</v>
      </c>
      <c r="H357" s="1">
        <v>180</v>
      </c>
      <c r="I357" s="1">
        <v>0</v>
      </c>
      <c r="J357" s="1">
        <v>0</v>
      </c>
      <c r="K357" s="1">
        <v>0</v>
      </c>
      <c r="L357" s="1">
        <v>0.6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</row>
    <row r="358" spans="1:19">
      <c r="A358" s="1" t="s">
        <v>516</v>
      </c>
      <c r="B358" s="1" t="s">
        <v>10</v>
      </c>
      <c r="C358" s="1" t="s">
        <v>161</v>
      </c>
      <c r="D358" s="1" t="s">
        <v>172</v>
      </c>
      <c r="E358" s="1">
        <v>4.5</v>
      </c>
      <c r="F358" s="1">
        <v>0</v>
      </c>
      <c r="G358" s="1">
        <v>3</v>
      </c>
      <c r="H358" s="1">
        <v>173</v>
      </c>
      <c r="I358" s="1">
        <v>0</v>
      </c>
      <c r="J358" s="1">
        <v>0</v>
      </c>
      <c r="K358" s="1">
        <v>0</v>
      </c>
      <c r="L358" s="1">
        <v>0.67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</row>
    <row r="359" spans="1:19">
      <c r="A359" s="1" t="s">
        <v>517</v>
      </c>
      <c r="B359" s="1" t="s">
        <v>20</v>
      </c>
      <c r="C359" s="1" t="s">
        <v>169</v>
      </c>
      <c r="D359" s="1" t="s">
        <v>172</v>
      </c>
      <c r="E359" s="1">
        <v>6.5</v>
      </c>
      <c r="F359" s="1">
        <v>0</v>
      </c>
      <c r="G359" s="1">
        <v>10</v>
      </c>
      <c r="H359" s="1">
        <v>149</v>
      </c>
      <c r="I359" s="1">
        <v>0</v>
      </c>
      <c r="J359" s="1">
        <v>0</v>
      </c>
      <c r="K359" s="1">
        <v>0</v>
      </c>
      <c r="L359" s="1">
        <v>1.54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</row>
    <row r="360" spans="1:19">
      <c r="A360" s="1" t="s">
        <v>518</v>
      </c>
      <c r="B360" s="1" t="s">
        <v>34</v>
      </c>
      <c r="C360" s="1" t="s">
        <v>169</v>
      </c>
      <c r="D360" s="1" t="s">
        <v>172</v>
      </c>
      <c r="E360" s="1">
        <v>4.5</v>
      </c>
      <c r="F360" s="1">
        <v>0</v>
      </c>
      <c r="G360" s="1">
        <v>7</v>
      </c>
      <c r="H360" s="1">
        <v>138</v>
      </c>
      <c r="I360" s="1">
        <v>0</v>
      </c>
      <c r="J360" s="1">
        <v>0</v>
      </c>
      <c r="K360" s="1">
        <v>0</v>
      </c>
      <c r="L360" s="1">
        <v>1.56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</row>
    <row r="361" spans="1:19">
      <c r="A361" s="1" t="s">
        <v>519</v>
      </c>
      <c r="B361" s="1" t="s">
        <v>17</v>
      </c>
      <c r="C361" s="1" t="s">
        <v>181</v>
      </c>
      <c r="D361" s="1" t="s">
        <v>162</v>
      </c>
      <c r="E361" s="1">
        <v>5</v>
      </c>
      <c r="F361" s="1">
        <v>0</v>
      </c>
      <c r="G361" s="1">
        <v>4</v>
      </c>
      <c r="H361" s="1">
        <v>137</v>
      </c>
      <c r="I361" s="1">
        <v>0</v>
      </c>
      <c r="J361" s="1">
        <v>0</v>
      </c>
      <c r="K361" s="1">
        <v>0</v>
      </c>
      <c r="L361" s="1">
        <v>0.8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</row>
    <row r="362" spans="1:19">
      <c r="A362" s="1" t="s">
        <v>520</v>
      </c>
      <c r="B362" s="1" t="s">
        <v>23</v>
      </c>
      <c r="C362" s="1" t="s">
        <v>169</v>
      </c>
      <c r="D362" s="1" t="s">
        <v>162</v>
      </c>
      <c r="E362" s="1">
        <v>5</v>
      </c>
      <c r="F362" s="1">
        <v>0</v>
      </c>
      <c r="G362" s="1">
        <v>4</v>
      </c>
      <c r="H362" s="1">
        <v>132</v>
      </c>
      <c r="I362" s="1">
        <v>0</v>
      </c>
      <c r="J362" s="1">
        <v>0</v>
      </c>
      <c r="K362" s="1">
        <v>0</v>
      </c>
      <c r="L362" s="1">
        <v>0.8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</row>
    <row r="363" spans="1:19">
      <c r="A363" s="1" t="s">
        <v>521</v>
      </c>
      <c r="B363" s="1" t="s">
        <v>20</v>
      </c>
      <c r="C363" s="1" t="s">
        <v>169</v>
      </c>
      <c r="D363" s="1" t="s">
        <v>172</v>
      </c>
      <c r="E363" s="1">
        <v>5</v>
      </c>
      <c r="F363" s="1">
        <v>0</v>
      </c>
      <c r="G363" s="1">
        <v>13</v>
      </c>
      <c r="H363" s="1">
        <v>132</v>
      </c>
      <c r="I363" s="1">
        <v>0</v>
      </c>
      <c r="J363" s="1">
        <v>0</v>
      </c>
      <c r="K363" s="1">
        <v>0</v>
      </c>
      <c r="L363" s="1">
        <v>2.6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</row>
    <row r="364" spans="1:19">
      <c r="A364" s="1" t="s">
        <v>522</v>
      </c>
      <c r="B364" s="1" t="s">
        <v>28</v>
      </c>
      <c r="C364" s="1" t="s">
        <v>161</v>
      </c>
      <c r="D364" s="1" t="s">
        <v>172</v>
      </c>
      <c r="E364" s="1">
        <v>4</v>
      </c>
      <c r="F364" s="1">
        <v>0</v>
      </c>
      <c r="G364" s="1">
        <v>2</v>
      </c>
      <c r="H364" s="1">
        <v>129</v>
      </c>
      <c r="I364" s="1">
        <v>0</v>
      </c>
      <c r="J364" s="1">
        <v>0</v>
      </c>
      <c r="K364" s="1">
        <v>0</v>
      </c>
      <c r="L364" s="1">
        <v>0.5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</row>
    <row r="365" spans="1:19">
      <c r="A365" s="1" t="s">
        <v>523</v>
      </c>
      <c r="B365" s="1" t="s">
        <v>34</v>
      </c>
      <c r="C365" s="1" t="s">
        <v>169</v>
      </c>
      <c r="D365" s="1" t="s">
        <v>172</v>
      </c>
      <c r="E365" s="1">
        <v>4.5</v>
      </c>
      <c r="F365" s="1">
        <v>0</v>
      </c>
      <c r="G365" s="1">
        <v>6</v>
      </c>
      <c r="H365" s="1">
        <v>127</v>
      </c>
      <c r="I365" s="1">
        <v>0</v>
      </c>
      <c r="J365" s="1">
        <v>0</v>
      </c>
      <c r="K365" s="1">
        <v>0</v>
      </c>
      <c r="L365" s="1">
        <v>1.33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</row>
    <row r="366" spans="1:19">
      <c r="A366" s="1" t="s">
        <v>524</v>
      </c>
      <c r="B366" s="1" t="s">
        <v>28</v>
      </c>
      <c r="C366" s="1" t="s">
        <v>169</v>
      </c>
      <c r="D366" s="1" t="s">
        <v>172</v>
      </c>
      <c r="E366" s="1">
        <v>4.5</v>
      </c>
      <c r="F366" s="1">
        <v>0</v>
      </c>
      <c r="G366" s="1">
        <v>4</v>
      </c>
      <c r="H366" s="1">
        <v>115</v>
      </c>
      <c r="I366" s="1">
        <v>0</v>
      </c>
      <c r="J366" s="1">
        <v>0</v>
      </c>
      <c r="K366" s="1">
        <v>0</v>
      </c>
      <c r="L366" s="1">
        <v>0.89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</row>
    <row r="367" spans="1:19">
      <c r="A367" s="1" t="s">
        <v>525</v>
      </c>
      <c r="B367" s="1" t="s">
        <v>19</v>
      </c>
      <c r="C367" s="1" t="s">
        <v>169</v>
      </c>
      <c r="D367" s="1" t="s">
        <v>162</v>
      </c>
      <c r="E367" s="1">
        <v>5.5</v>
      </c>
      <c r="F367" s="1">
        <v>0</v>
      </c>
      <c r="G367" s="1">
        <v>9</v>
      </c>
      <c r="H367" s="1">
        <v>113</v>
      </c>
      <c r="I367" s="1">
        <v>0</v>
      </c>
      <c r="J367" s="1">
        <v>0</v>
      </c>
      <c r="K367" s="1">
        <v>0</v>
      </c>
      <c r="L367" s="1">
        <v>1.64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</row>
    <row r="368" spans="1:19">
      <c r="A368" s="1" t="s">
        <v>526</v>
      </c>
      <c r="B368" s="1" t="s">
        <v>8</v>
      </c>
      <c r="C368" s="1" t="s">
        <v>167</v>
      </c>
      <c r="D368" s="1" t="s">
        <v>162</v>
      </c>
      <c r="E368" s="1">
        <v>5</v>
      </c>
      <c r="F368" s="1">
        <v>0</v>
      </c>
      <c r="G368" s="1">
        <v>11</v>
      </c>
      <c r="H368" s="1">
        <v>107</v>
      </c>
      <c r="I368" s="1">
        <v>0</v>
      </c>
      <c r="J368" s="1">
        <v>0</v>
      </c>
      <c r="K368" s="1">
        <v>0</v>
      </c>
      <c r="L368" s="1">
        <v>2.2000000000000002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</row>
    <row r="369" spans="1:19">
      <c r="A369" s="1" t="s">
        <v>527</v>
      </c>
      <c r="B369" s="1" t="s">
        <v>34</v>
      </c>
      <c r="C369" s="1" t="s">
        <v>169</v>
      </c>
      <c r="D369" s="1" t="s">
        <v>172</v>
      </c>
      <c r="E369" s="1">
        <v>4.5</v>
      </c>
      <c r="F369" s="1">
        <v>0</v>
      </c>
      <c r="G369" s="1">
        <v>3</v>
      </c>
      <c r="H369" s="1">
        <v>92</v>
      </c>
      <c r="I369" s="1">
        <v>0</v>
      </c>
      <c r="J369" s="1">
        <v>0</v>
      </c>
      <c r="K369" s="1">
        <v>0</v>
      </c>
      <c r="L369" s="1">
        <v>0.67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</row>
    <row r="370" spans="1:19">
      <c r="A370" s="1" t="s">
        <v>528</v>
      </c>
      <c r="B370" s="1" t="s">
        <v>1</v>
      </c>
      <c r="C370" s="1" t="s">
        <v>169</v>
      </c>
      <c r="D370" s="1" t="s">
        <v>162</v>
      </c>
      <c r="E370" s="1">
        <v>4.5</v>
      </c>
      <c r="F370" s="1">
        <v>0</v>
      </c>
      <c r="G370" s="1">
        <v>3</v>
      </c>
      <c r="H370" s="1">
        <v>91</v>
      </c>
      <c r="I370" s="1">
        <v>0</v>
      </c>
      <c r="J370" s="1">
        <v>0</v>
      </c>
      <c r="K370" s="1">
        <v>0</v>
      </c>
      <c r="L370" s="1">
        <v>0.67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</row>
    <row r="371" spans="1:19">
      <c r="A371" s="1" t="s">
        <v>529</v>
      </c>
      <c r="B371" s="1" t="s">
        <v>15</v>
      </c>
      <c r="C371" s="1" t="s">
        <v>161</v>
      </c>
      <c r="D371" s="1" t="s">
        <v>162</v>
      </c>
      <c r="E371" s="1">
        <v>4</v>
      </c>
      <c r="F371" s="1">
        <v>0</v>
      </c>
      <c r="G371" s="1">
        <v>0</v>
      </c>
      <c r="H371" s="1">
        <v>90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</row>
    <row r="372" spans="1:19">
      <c r="A372" s="1" t="s">
        <v>530</v>
      </c>
      <c r="B372" s="1" t="s">
        <v>30</v>
      </c>
      <c r="C372" s="1" t="s">
        <v>181</v>
      </c>
      <c r="D372" s="1" t="s">
        <v>172</v>
      </c>
      <c r="E372" s="1">
        <v>4.5</v>
      </c>
      <c r="F372" s="1">
        <v>0</v>
      </c>
      <c r="G372" s="1">
        <v>5</v>
      </c>
      <c r="H372" s="1">
        <v>72</v>
      </c>
      <c r="I372" s="1">
        <v>0</v>
      </c>
      <c r="J372" s="1">
        <v>0</v>
      </c>
      <c r="K372" s="1">
        <v>0</v>
      </c>
      <c r="L372" s="1">
        <v>1.1100000000000001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</row>
    <row r="373" spans="1:19">
      <c r="A373" s="1" t="s">
        <v>531</v>
      </c>
      <c r="B373" s="1" t="s">
        <v>24</v>
      </c>
      <c r="C373" s="1" t="s">
        <v>181</v>
      </c>
      <c r="D373" s="1" t="s">
        <v>162</v>
      </c>
      <c r="E373" s="1">
        <v>4.5</v>
      </c>
      <c r="F373" s="1">
        <v>0</v>
      </c>
      <c r="G373" s="1">
        <v>5</v>
      </c>
      <c r="H373" s="1">
        <v>54</v>
      </c>
      <c r="I373" s="1">
        <v>0</v>
      </c>
      <c r="J373" s="1">
        <v>0</v>
      </c>
      <c r="K373" s="1">
        <v>0</v>
      </c>
      <c r="L373" s="1">
        <v>1.1100000000000001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</row>
    <row r="374" spans="1:19">
      <c r="A374" s="1" t="s">
        <v>532</v>
      </c>
      <c r="B374" s="1" t="s">
        <v>24</v>
      </c>
      <c r="C374" s="1" t="s">
        <v>169</v>
      </c>
      <c r="D374" s="1" t="s">
        <v>162</v>
      </c>
      <c r="E374" s="1">
        <v>5</v>
      </c>
      <c r="F374" s="1">
        <v>0</v>
      </c>
      <c r="G374" s="1">
        <v>1</v>
      </c>
      <c r="H374" s="1">
        <v>52</v>
      </c>
      <c r="I374" s="1">
        <v>0</v>
      </c>
      <c r="J374" s="1">
        <v>0</v>
      </c>
      <c r="K374" s="1">
        <v>0</v>
      </c>
      <c r="L374" s="1">
        <v>0.2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</row>
    <row r="375" spans="1:19">
      <c r="A375" s="1" t="s">
        <v>533</v>
      </c>
      <c r="B375" s="1" t="s">
        <v>8</v>
      </c>
      <c r="C375" s="1" t="s">
        <v>181</v>
      </c>
      <c r="D375" s="1" t="s">
        <v>162</v>
      </c>
      <c r="E375" s="1">
        <v>6</v>
      </c>
      <c r="F375" s="1">
        <v>0</v>
      </c>
      <c r="G375" s="1">
        <v>1</v>
      </c>
      <c r="H375" s="1">
        <v>45</v>
      </c>
      <c r="I375" s="1">
        <v>0</v>
      </c>
      <c r="J375" s="1">
        <v>0</v>
      </c>
      <c r="K375" s="1">
        <v>0</v>
      </c>
      <c r="L375" s="1">
        <v>0.17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</row>
    <row r="376" spans="1:19">
      <c r="A376" s="1" t="s">
        <v>534</v>
      </c>
      <c r="B376" s="1" t="s">
        <v>28</v>
      </c>
      <c r="C376" s="1" t="s">
        <v>169</v>
      </c>
      <c r="D376" s="1" t="s">
        <v>172</v>
      </c>
      <c r="E376" s="1">
        <v>4.5</v>
      </c>
      <c r="F376" s="1">
        <v>0</v>
      </c>
      <c r="G376" s="1">
        <v>3</v>
      </c>
      <c r="H376" s="1">
        <v>44</v>
      </c>
      <c r="I376" s="1">
        <v>0</v>
      </c>
      <c r="J376" s="1">
        <v>0</v>
      </c>
      <c r="K376" s="1">
        <v>0</v>
      </c>
      <c r="L376" s="1">
        <v>0.67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</row>
    <row r="377" spans="1:19">
      <c r="A377" s="1" t="s">
        <v>174</v>
      </c>
      <c r="B377" s="1" t="s">
        <v>34</v>
      </c>
      <c r="C377" s="1" t="s">
        <v>169</v>
      </c>
      <c r="D377" s="1" t="s">
        <v>172</v>
      </c>
      <c r="E377" s="1">
        <v>4.5</v>
      </c>
      <c r="F377" s="1">
        <v>0</v>
      </c>
      <c r="G377" s="1">
        <v>2</v>
      </c>
      <c r="H377" s="1">
        <v>36</v>
      </c>
      <c r="I377" s="1">
        <v>0</v>
      </c>
      <c r="J377" s="1">
        <v>0</v>
      </c>
      <c r="K377" s="1">
        <v>0</v>
      </c>
      <c r="L377" s="1">
        <v>0.44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</row>
    <row r="378" spans="1:19">
      <c r="A378" s="1" t="s">
        <v>535</v>
      </c>
      <c r="B378" s="1" t="s">
        <v>10</v>
      </c>
      <c r="C378" s="1" t="s">
        <v>161</v>
      </c>
      <c r="D378" s="1" t="s">
        <v>172</v>
      </c>
      <c r="E378" s="1">
        <v>4</v>
      </c>
      <c r="F378" s="1">
        <v>0</v>
      </c>
      <c r="G378" s="1">
        <v>2</v>
      </c>
      <c r="H378" s="1">
        <v>31</v>
      </c>
      <c r="I378" s="1">
        <v>0</v>
      </c>
      <c r="J378" s="1">
        <v>0</v>
      </c>
      <c r="K378" s="1">
        <v>0</v>
      </c>
      <c r="L378" s="1">
        <v>0.5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</row>
    <row r="379" spans="1:19">
      <c r="A379" s="1" t="s">
        <v>536</v>
      </c>
      <c r="B379" s="1" t="s">
        <v>0</v>
      </c>
      <c r="C379" s="1" t="s">
        <v>181</v>
      </c>
      <c r="D379" s="1" t="s">
        <v>189</v>
      </c>
      <c r="E379" s="1">
        <v>5</v>
      </c>
      <c r="F379" s="1">
        <v>0</v>
      </c>
      <c r="G379" s="1">
        <v>6</v>
      </c>
      <c r="H379" s="1">
        <v>30</v>
      </c>
      <c r="I379" s="1">
        <v>0</v>
      </c>
      <c r="J379" s="1">
        <v>0</v>
      </c>
      <c r="K379" s="1">
        <v>0</v>
      </c>
      <c r="L379" s="1">
        <v>1.2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</row>
    <row r="380" spans="1:19">
      <c r="A380" s="1" t="s">
        <v>537</v>
      </c>
      <c r="B380" s="1" t="s">
        <v>23</v>
      </c>
      <c r="C380" s="1" t="s">
        <v>161</v>
      </c>
      <c r="D380" s="1" t="s">
        <v>162</v>
      </c>
      <c r="E380" s="1">
        <v>4.5</v>
      </c>
      <c r="F380" s="1">
        <v>0</v>
      </c>
      <c r="G380" s="1">
        <v>1</v>
      </c>
      <c r="H380" s="1">
        <v>18</v>
      </c>
      <c r="I380" s="1">
        <v>0</v>
      </c>
      <c r="J380" s="1">
        <v>0</v>
      </c>
      <c r="K380" s="1">
        <v>0</v>
      </c>
      <c r="L380" s="1">
        <v>0.22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</row>
    <row r="381" spans="1:19">
      <c r="A381" s="1" t="s">
        <v>538</v>
      </c>
      <c r="B381" s="1" t="s">
        <v>8</v>
      </c>
      <c r="C381" s="1" t="s">
        <v>169</v>
      </c>
      <c r="D381" s="1" t="s">
        <v>162</v>
      </c>
      <c r="E381" s="1">
        <v>5</v>
      </c>
      <c r="F381" s="1">
        <v>0</v>
      </c>
      <c r="G381" s="1">
        <v>1</v>
      </c>
      <c r="H381" s="1">
        <v>14</v>
      </c>
      <c r="I381" s="1">
        <v>0</v>
      </c>
      <c r="J381" s="1">
        <v>0</v>
      </c>
      <c r="K381" s="1">
        <v>0</v>
      </c>
      <c r="L381" s="1">
        <v>0.2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</row>
    <row r="382" spans="1:19">
      <c r="A382" s="1" t="s">
        <v>539</v>
      </c>
      <c r="B382" s="1" t="s">
        <v>23</v>
      </c>
      <c r="C382" s="1" t="s">
        <v>161</v>
      </c>
      <c r="D382" s="1" t="s">
        <v>162</v>
      </c>
      <c r="E382" s="1">
        <v>4.5</v>
      </c>
      <c r="F382" s="1">
        <v>0</v>
      </c>
      <c r="G382" s="1">
        <v>1</v>
      </c>
      <c r="H382" s="1">
        <v>13</v>
      </c>
      <c r="I382" s="1">
        <v>0</v>
      </c>
      <c r="J382" s="1">
        <v>0</v>
      </c>
      <c r="K382" s="1">
        <v>0</v>
      </c>
      <c r="L382" s="1">
        <v>0.22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</row>
    <row r="383" spans="1:19">
      <c r="A383" s="1" t="s">
        <v>319</v>
      </c>
      <c r="B383" s="1" t="s">
        <v>23</v>
      </c>
      <c r="C383" s="1" t="s">
        <v>169</v>
      </c>
      <c r="D383" s="1" t="s">
        <v>162</v>
      </c>
      <c r="E383" s="1">
        <v>4.5</v>
      </c>
      <c r="F383" s="1">
        <v>0</v>
      </c>
      <c r="G383" s="1">
        <v>1</v>
      </c>
      <c r="H383" s="1">
        <v>12</v>
      </c>
      <c r="I383" s="1">
        <v>0</v>
      </c>
      <c r="J383" s="1">
        <v>0</v>
      </c>
      <c r="K383" s="1">
        <v>0</v>
      </c>
      <c r="L383" s="1">
        <v>0.22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</row>
    <row r="384" spans="1:19">
      <c r="A384" s="1" t="s">
        <v>540</v>
      </c>
      <c r="B384" s="1" t="s">
        <v>12</v>
      </c>
      <c r="C384" s="1" t="s">
        <v>161</v>
      </c>
      <c r="D384" s="1" t="s">
        <v>162</v>
      </c>
      <c r="E384" s="1">
        <v>4.5</v>
      </c>
      <c r="F384" s="1">
        <v>0</v>
      </c>
      <c r="G384" s="1">
        <v>1</v>
      </c>
      <c r="H384" s="1">
        <v>12</v>
      </c>
      <c r="I384" s="1">
        <v>0</v>
      </c>
      <c r="J384" s="1">
        <v>0</v>
      </c>
      <c r="K384" s="1">
        <v>0</v>
      </c>
      <c r="L384" s="1">
        <v>0.22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</row>
    <row r="385" spans="1:19">
      <c r="A385" s="1" t="s">
        <v>541</v>
      </c>
      <c r="B385" s="1" t="s">
        <v>38</v>
      </c>
      <c r="C385" s="1" t="s">
        <v>181</v>
      </c>
      <c r="D385" s="1" t="s">
        <v>172</v>
      </c>
      <c r="E385" s="1">
        <v>4.5</v>
      </c>
      <c r="F385" s="1">
        <v>0</v>
      </c>
      <c r="G385" s="1">
        <v>1</v>
      </c>
      <c r="H385" s="1">
        <v>8</v>
      </c>
      <c r="I385" s="1">
        <v>0</v>
      </c>
      <c r="J385" s="1">
        <v>0</v>
      </c>
      <c r="K385" s="1">
        <v>0</v>
      </c>
      <c r="L385" s="1">
        <v>0.22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</row>
    <row r="386" spans="1:19">
      <c r="A386" s="1" t="s">
        <v>542</v>
      </c>
      <c r="B386" s="1" t="s">
        <v>34</v>
      </c>
      <c r="C386" s="1" t="s">
        <v>161</v>
      </c>
      <c r="D386" s="1" t="s">
        <v>172</v>
      </c>
      <c r="E386" s="1">
        <v>4</v>
      </c>
      <c r="F386" s="1">
        <v>0</v>
      </c>
      <c r="G386" s="1">
        <v>1</v>
      </c>
      <c r="H386" s="1">
        <v>4</v>
      </c>
      <c r="I386" s="1">
        <v>0</v>
      </c>
      <c r="J386" s="1">
        <v>0</v>
      </c>
      <c r="K386" s="1">
        <v>0</v>
      </c>
      <c r="L386" s="1">
        <v>0.25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</row>
    <row r="387" spans="1:19">
      <c r="A387" s="1" t="s">
        <v>543</v>
      </c>
      <c r="B387" s="1" t="s">
        <v>0</v>
      </c>
      <c r="C387" s="1" t="s">
        <v>169</v>
      </c>
      <c r="D387" s="1" t="s">
        <v>189</v>
      </c>
      <c r="E387" s="1">
        <v>5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</row>
    <row r="388" spans="1:19">
      <c r="A388" s="1" t="s">
        <v>544</v>
      </c>
      <c r="B388" s="1" t="s">
        <v>0</v>
      </c>
      <c r="C388" s="1" t="s">
        <v>169</v>
      </c>
      <c r="D388" s="1" t="s">
        <v>189</v>
      </c>
      <c r="E388" s="1">
        <v>5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</row>
    <row r="389" spans="1:19">
      <c r="A389" s="1" t="s">
        <v>545</v>
      </c>
      <c r="B389" s="1" t="s">
        <v>38</v>
      </c>
      <c r="C389" s="1" t="s">
        <v>161</v>
      </c>
      <c r="D389" s="1" t="s">
        <v>172</v>
      </c>
      <c r="E389" s="1">
        <v>4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</row>
    <row r="390" spans="1:19">
      <c r="A390" s="1" t="s">
        <v>546</v>
      </c>
      <c r="B390" s="1" t="s">
        <v>38</v>
      </c>
      <c r="C390" s="1" t="s">
        <v>167</v>
      </c>
      <c r="D390" s="1" t="s">
        <v>172</v>
      </c>
      <c r="E390" s="1">
        <v>4.5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</row>
    <row r="391" spans="1:19">
      <c r="A391" s="1" t="s">
        <v>547</v>
      </c>
      <c r="B391" s="1" t="s">
        <v>38</v>
      </c>
      <c r="C391" s="1" t="s">
        <v>181</v>
      </c>
      <c r="D391" s="1" t="s">
        <v>172</v>
      </c>
      <c r="E391" s="1">
        <v>5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</row>
    <row r="392" spans="1:19">
      <c r="A392" s="1" t="s">
        <v>548</v>
      </c>
      <c r="B392" s="1" t="s">
        <v>38</v>
      </c>
      <c r="C392" s="1" t="s">
        <v>161</v>
      </c>
      <c r="D392" s="1" t="s">
        <v>172</v>
      </c>
      <c r="E392" s="1">
        <v>4.5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</row>
    <row r="393" spans="1:19">
      <c r="A393" s="1" t="s">
        <v>297</v>
      </c>
      <c r="B393" s="1" t="s">
        <v>19</v>
      </c>
      <c r="C393" s="1" t="s">
        <v>181</v>
      </c>
      <c r="D393" s="1" t="s">
        <v>162</v>
      </c>
      <c r="E393" s="1">
        <v>5.5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</row>
    <row r="394" spans="1:19">
      <c r="A394" s="1" t="s">
        <v>383</v>
      </c>
      <c r="B394" s="1" t="s">
        <v>19</v>
      </c>
      <c r="C394" s="1" t="s">
        <v>169</v>
      </c>
      <c r="D394" s="1" t="s">
        <v>162</v>
      </c>
      <c r="E394" s="1">
        <v>5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</row>
    <row r="395" spans="1:19">
      <c r="A395" s="1" t="s">
        <v>549</v>
      </c>
      <c r="B395" s="1" t="s">
        <v>19</v>
      </c>
      <c r="C395" s="1" t="s">
        <v>161</v>
      </c>
      <c r="D395" s="1" t="s">
        <v>162</v>
      </c>
      <c r="E395" s="1">
        <v>4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</row>
    <row r="396" spans="1:19">
      <c r="A396" s="1" t="s">
        <v>550</v>
      </c>
      <c r="B396" s="1" t="s">
        <v>19</v>
      </c>
      <c r="C396" s="1" t="s">
        <v>169</v>
      </c>
      <c r="D396" s="1" t="s">
        <v>162</v>
      </c>
      <c r="E396" s="1">
        <v>4.5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</row>
    <row r="397" spans="1:19">
      <c r="A397" s="1" t="s">
        <v>551</v>
      </c>
      <c r="B397" s="1" t="s">
        <v>19</v>
      </c>
      <c r="C397" s="1" t="s">
        <v>169</v>
      </c>
      <c r="D397" s="1" t="s">
        <v>162</v>
      </c>
      <c r="E397" s="1">
        <v>4.5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</row>
    <row r="398" spans="1:19">
      <c r="A398" s="1" t="s">
        <v>552</v>
      </c>
      <c r="B398" s="1" t="s">
        <v>19</v>
      </c>
      <c r="C398" s="1" t="s">
        <v>161</v>
      </c>
      <c r="D398" s="1" t="s">
        <v>162</v>
      </c>
      <c r="E398" s="1">
        <v>4.5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</row>
    <row r="399" spans="1:19">
      <c r="A399" s="1" t="s">
        <v>553</v>
      </c>
      <c r="B399" s="1" t="s">
        <v>19</v>
      </c>
      <c r="C399" s="1" t="s">
        <v>181</v>
      </c>
      <c r="D399" s="1" t="s">
        <v>162</v>
      </c>
      <c r="E399" s="1">
        <v>4.5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</row>
    <row r="400" spans="1:19">
      <c r="A400" s="1" t="s">
        <v>554</v>
      </c>
      <c r="B400" s="1" t="s">
        <v>19</v>
      </c>
      <c r="C400" s="1" t="s">
        <v>169</v>
      </c>
      <c r="D400" s="1" t="s">
        <v>162</v>
      </c>
      <c r="E400" s="1">
        <v>5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</row>
    <row r="401" spans="1:19">
      <c r="A401" s="1" t="s">
        <v>555</v>
      </c>
      <c r="B401" s="1" t="s">
        <v>19</v>
      </c>
      <c r="C401" s="1" t="s">
        <v>161</v>
      </c>
      <c r="D401" s="1" t="s">
        <v>162</v>
      </c>
      <c r="E401" s="1">
        <v>4.5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</row>
    <row r="402" spans="1:19">
      <c r="A402" s="1" t="s">
        <v>556</v>
      </c>
      <c r="B402" s="1" t="s">
        <v>19</v>
      </c>
      <c r="C402" s="1" t="s">
        <v>167</v>
      </c>
      <c r="D402" s="1" t="s">
        <v>162</v>
      </c>
      <c r="E402" s="1">
        <v>4.5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</row>
    <row r="403" spans="1:19">
      <c r="A403" s="1" t="s">
        <v>557</v>
      </c>
      <c r="B403" s="1" t="s">
        <v>19</v>
      </c>
      <c r="C403" s="1" t="s">
        <v>169</v>
      </c>
      <c r="D403" s="1" t="s">
        <v>162</v>
      </c>
      <c r="E403" s="1">
        <v>4.5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</row>
    <row r="404" spans="1:19">
      <c r="A404" s="1" t="s">
        <v>558</v>
      </c>
      <c r="B404" s="1" t="s">
        <v>19</v>
      </c>
      <c r="C404" s="1" t="s">
        <v>169</v>
      </c>
      <c r="D404" s="1" t="s">
        <v>162</v>
      </c>
      <c r="E404" s="1">
        <v>4.5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</row>
    <row r="405" spans="1:19">
      <c r="A405" s="1" t="s">
        <v>559</v>
      </c>
      <c r="B405" s="1" t="s">
        <v>19</v>
      </c>
      <c r="C405" s="1" t="s">
        <v>161</v>
      </c>
      <c r="D405" s="1" t="s">
        <v>162</v>
      </c>
      <c r="E405" s="1">
        <v>4.5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</row>
    <row r="406" spans="1:19">
      <c r="A406" s="1" t="s">
        <v>560</v>
      </c>
      <c r="B406" s="1" t="s">
        <v>19</v>
      </c>
      <c r="C406" s="1" t="s">
        <v>161</v>
      </c>
      <c r="D406" s="1" t="s">
        <v>162</v>
      </c>
      <c r="E406" s="1">
        <v>4.5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</row>
    <row r="407" spans="1:19">
      <c r="A407" s="1" t="s">
        <v>561</v>
      </c>
      <c r="B407" s="1" t="s">
        <v>19</v>
      </c>
      <c r="C407" s="1" t="s">
        <v>181</v>
      </c>
      <c r="D407" s="1" t="s">
        <v>162</v>
      </c>
      <c r="E407" s="1">
        <v>5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</row>
    <row r="408" spans="1:19">
      <c r="A408" s="1" t="s">
        <v>562</v>
      </c>
      <c r="B408" s="1" t="s">
        <v>19</v>
      </c>
      <c r="C408" s="1" t="s">
        <v>169</v>
      </c>
      <c r="D408" s="1" t="s">
        <v>162</v>
      </c>
      <c r="E408" s="1">
        <v>5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</row>
    <row r="409" spans="1:19">
      <c r="A409" s="1" t="s">
        <v>563</v>
      </c>
      <c r="B409" s="1" t="s">
        <v>19</v>
      </c>
      <c r="C409" s="1" t="s">
        <v>169</v>
      </c>
      <c r="D409" s="1" t="s">
        <v>162</v>
      </c>
      <c r="E409" s="1">
        <v>6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</row>
    <row r="410" spans="1:19">
      <c r="A410" s="1" t="s">
        <v>564</v>
      </c>
      <c r="B410" s="1" t="s">
        <v>19</v>
      </c>
      <c r="C410" s="1" t="s">
        <v>161</v>
      </c>
      <c r="D410" s="1" t="s">
        <v>162</v>
      </c>
      <c r="E410" s="1">
        <v>4.5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</row>
    <row r="411" spans="1:19">
      <c r="A411" s="1" t="s">
        <v>565</v>
      </c>
      <c r="B411" s="1" t="s">
        <v>19</v>
      </c>
      <c r="C411" s="1" t="s">
        <v>167</v>
      </c>
      <c r="D411" s="1" t="s">
        <v>162</v>
      </c>
      <c r="E411" s="1">
        <v>4.5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</row>
    <row r="412" spans="1:19">
      <c r="A412" s="1" t="s">
        <v>566</v>
      </c>
      <c r="B412" s="1" t="s">
        <v>19</v>
      </c>
      <c r="C412" s="1" t="s">
        <v>169</v>
      </c>
      <c r="D412" s="1" t="s">
        <v>162</v>
      </c>
      <c r="E412" s="1">
        <v>4.5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</row>
    <row r="413" spans="1:19">
      <c r="A413" s="1" t="s">
        <v>567</v>
      </c>
      <c r="B413" s="1" t="s">
        <v>23</v>
      </c>
      <c r="C413" s="1" t="s">
        <v>181</v>
      </c>
      <c r="D413" s="1" t="s">
        <v>162</v>
      </c>
      <c r="E413" s="1">
        <v>5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</row>
    <row r="414" spans="1:19">
      <c r="A414" s="1" t="s">
        <v>568</v>
      </c>
      <c r="B414" s="1" t="s">
        <v>23</v>
      </c>
      <c r="C414" s="1" t="s">
        <v>169</v>
      </c>
      <c r="D414" s="1" t="s">
        <v>162</v>
      </c>
      <c r="E414" s="1">
        <v>5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</row>
    <row r="415" spans="1:19">
      <c r="A415" s="1" t="s">
        <v>569</v>
      </c>
      <c r="B415" s="1" t="s">
        <v>34</v>
      </c>
      <c r="C415" s="1" t="s">
        <v>169</v>
      </c>
      <c r="D415" s="1" t="s">
        <v>172</v>
      </c>
      <c r="E415" s="1">
        <v>6.5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</row>
    <row r="416" spans="1:19">
      <c r="A416" s="1" t="s">
        <v>570</v>
      </c>
      <c r="B416" s="1" t="s">
        <v>10</v>
      </c>
      <c r="C416" s="1" t="s">
        <v>169</v>
      </c>
      <c r="D416" s="1" t="s">
        <v>172</v>
      </c>
      <c r="E416" s="1">
        <v>6.5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</row>
    <row r="417" spans="1:19">
      <c r="A417" s="1" t="s">
        <v>571</v>
      </c>
      <c r="B417" s="1" t="s">
        <v>26</v>
      </c>
      <c r="C417" s="1" t="s">
        <v>181</v>
      </c>
      <c r="D417" s="1" t="s">
        <v>162</v>
      </c>
      <c r="E417" s="1">
        <v>6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</row>
    <row r="418" spans="1:19">
      <c r="A418" s="1" t="s">
        <v>572</v>
      </c>
      <c r="B418" s="1" t="s">
        <v>26</v>
      </c>
      <c r="C418" s="1" t="s">
        <v>161</v>
      </c>
      <c r="D418" s="1" t="s">
        <v>162</v>
      </c>
      <c r="E418" s="1">
        <v>5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</row>
    <row r="419" spans="1:19">
      <c r="A419" s="1" t="s">
        <v>573</v>
      </c>
      <c r="B419" s="1" t="s">
        <v>3</v>
      </c>
      <c r="C419" s="1" t="s">
        <v>181</v>
      </c>
      <c r="D419" s="1" t="s">
        <v>162</v>
      </c>
      <c r="E419" s="1">
        <v>6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</row>
    <row r="420" spans="1:19">
      <c r="A420" s="1" t="s">
        <v>574</v>
      </c>
      <c r="B420" s="1" t="s">
        <v>3</v>
      </c>
      <c r="C420" s="1" t="s">
        <v>167</v>
      </c>
      <c r="D420" s="1" t="s">
        <v>162</v>
      </c>
      <c r="E420" s="1">
        <v>4.5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</row>
    <row r="421" spans="1:19">
      <c r="A421" s="1" t="s">
        <v>575</v>
      </c>
      <c r="B421" s="1" t="s">
        <v>3</v>
      </c>
      <c r="C421" s="1" t="s">
        <v>169</v>
      </c>
      <c r="D421" s="1" t="s">
        <v>162</v>
      </c>
      <c r="E421" s="1">
        <v>5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</row>
    <row r="422" spans="1:19">
      <c r="A422" s="1" t="s">
        <v>576</v>
      </c>
      <c r="B422" s="1" t="s">
        <v>3</v>
      </c>
      <c r="C422" s="1" t="s">
        <v>161</v>
      </c>
      <c r="D422" s="1" t="s">
        <v>162</v>
      </c>
      <c r="E422" s="1">
        <v>4.5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</row>
    <row r="423" spans="1:19">
      <c r="A423" s="1" t="s">
        <v>577</v>
      </c>
      <c r="B423" s="1" t="s">
        <v>17</v>
      </c>
      <c r="C423" s="1" t="s">
        <v>161</v>
      </c>
      <c r="D423" s="1" t="s">
        <v>162</v>
      </c>
      <c r="E423" s="1">
        <v>4.5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</row>
    <row r="424" spans="1:19">
      <c r="A424" s="1" t="s">
        <v>578</v>
      </c>
      <c r="B424" s="1" t="s">
        <v>8</v>
      </c>
      <c r="C424" s="1" t="s">
        <v>169</v>
      </c>
      <c r="D424" s="1" t="s">
        <v>162</v>
      </c>
      <c r="E424" s="1">
        <v>8.5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</row>
    <row r="425" spans="1:19">
      <c r="A425" s="1" t="s">
        <v>579</v>
      </c>
      <c r="B425" s="1" t="s">
        <v>8</v>
      </c>
      <c r="C425" s="1" t="s">
        <v>161</v>
      </c>
      <c r="D425" s="1" t="s">
        <v>162</v>
      </c>
      <c r="E425" s="1">
        <v>4.5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</row>
    <row r="426" spans="1:19">
      <c r="A426" s="1" t="s">
        <v>580</v>
      </c>
      <c r="B426" s="1" t="s">
        <v>36</v>
      </c>
      <c r="C426" s="1" t="s">
        <v>169</v>
      </c>
      <c r="D426" s="1" t="s">
        <v>162</v>
      </c>
      <c r="E426" s="1">
        <v>5.5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</row>
    <row r="427" spans="1:19">
      <c r="A427" s="1" t="s">
        <v>581</v>
      </c>
      <c r="B427" s="1" t="s">
        <v>36</v>
      </c>
      <c r="C427" s="1" t="s">
        <v>161</v>
      </c>
      <c r="D427" s="1" t="s">
        <v>162</v>
      </c>
      <c r="E427" s="1">
        <v>4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</row>
    <row r="428" spans="1:19">
      <c r="A428" s="1" t="s">
        <v>582</v>
      </c>
      <c r="B428" s="1" t="s">
        <v>36</v>
      </c>
      <c r="C428" s="1" t="s">
        <v>181</v>
      </c>
      <c r="D428" s="1" t="s">
        <v>162</v>
      </c>
      <c r="E428" s="1">
        <v>4.5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</row>
    <row r="429" spans="1:19">
      <c r="A429" s="1" t="s">
        <v>583</v>
      </c>
      <c r="B429" s="1" t="s">
        <v>36</v>
      </c>
      <c r="C429" s="1" t="s">
        <v>169</v>
      </c>
      <c r="D429" s="1" t="s">
        <v>162</v>
      </c>
      <c r="E429" s="1">
        <v>4.5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</row>
    <row r="430" spans="1:19">
      <c r="A430" s="1" t="s">
        <v>584</v>
      </c>
      <c r="B430" s="1" t="s">
        <v>36</v>
      </c>
      <c r="C430" s="1" t="s">
        <v>161</v>
      </c>
      <c r="D430" s="1" t="s">
        <v>162</v>
      </c>
      <c r="E430" s="1">
        <v>4.5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</row>
    <row r="431" spans="1:19">
      <c r="A431" s="1" t="s">
        <v>585</v>
      </c>
      <c r="B431" s="1" t="s">
        <v>36</v>
      </c>
      <c r="C431" s="1" t="s">
        <v>169</v>
      </c>
      <c r="D431" s="1" t="s">
        <v>162</v>
      </c>
      <c r="E431" s="1">
        <v>5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</row>
    <row r="432" spans="1:19">
      <c r="A432" s="1" t="s">
        <v>302</v>
      </c>
      <c r="B432" s="1" t="s">
        <v>36</v>
      </c>
      <c r="C432" s="1" t="s">
        <v>169</v>
      </c>
      <c r="D432" s="1" t="s">
        <v>162</v>
      </c>
      <c r="E432" s="1">
        <v>5.5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</row>
    <row r="433" spans="1:19">
      <c r="A433" s="1" t="s">
        <v>586</v>
      </c>
      <c r="B433" s="1" t="s">
        <v>36</v>
      </c>
      <c r="C433" s="1" t="s">
        <v>181</v>
      </c>
      <c r="D433" s="1" t="s">
        <v>162</v>
      </c>
      <c r="E433" s="1">
        <v>4.5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</row>
    <row r="434" spans="1:19">
      <c r="A434" s="1" t="s">
        <v>587</v>
      </c>
      <c r="B434" s="1" t="s">
        <v>36</v>
      </c>
      <c r="C434" s="1" t="s">
        <v>161</v>
      </c>
      <c r="D434" s="1" t="s">
        <v>162</v>
      </c>
      <c r="E434" s="1">
        <v>4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</row>
    <row r="435" spans="1:19">
      <c r="A435" s="1" t="s">
        <v>588</v>
      </c>
      <c r="B435" s="1" t="s">
        <v>36</v>
      </c>
      <c r="C435" s="1" t="s">
        <v>181</v>
      </c>
      <c r="D435" s="1" t="s">
        <v>162</v>
      </c>
      <c r="E435" s="1">
        <v>5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</row>
    <row r="436" spans="1:19">
      <c r="A436" s="1" t="s">
        <v>589</v>
      </c>
      <c r="B436" s="1" t="s">
        <v>36</v>
      </c>
      <c r="C436" s="1" t="s">
        <v>169</v>
      </c>
      <c r="D436" s="1" t="s">
        <v>162</v>
      </c>
      <c r="E436" s="1">
        <v>4.5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</row>
    <row r="437" spans="1:19">
      <c r="A437" s="1" t="s">
        <v>590</v>
      </c>
      <c r="B437" s="1" t="s">
        <v>36</v>
      </c>
      <c r="C437" s="1" t="s">
        <v>161</v>
      </c>
      <c r="D437" s="1" t="s">
        <v>162</v>
      </c>
      <c r="E437" s="1">
        <v>4.5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</row>
    <row r="438" spans="1:19">
      <c r="A438" s="1" t="s">
        <v>591</v>
      </c>
      <c r="B438" s="1" t="s">
        <v>36</v>
      </c>
      <c r="C438" s="1" t="s">
        <v>167</v>
      </c>
      <c r="D438" s="1" t="s">
        <v>162</v>
      </c>
      <c r="E438" s="1">
        <v>4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</row>
    <row r="439" spans="1:19">
      <c r="A439" s="1" t="s">
        <v>592</v>
      </c>
      <c r="B439" s="1" t="s">
        <v>36</v>
      </c>
      <c r="C439" s="1" t="s">
        <v>169</v>
      </c>
      <c r="D439" s="1" t="s">
        <v>162</v>
      </c>
      <c r="E439" s="1">
        <v>5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</row>
    <row r="440" spans="1:19">
      <c r="A440" s="1" t="s">
        <v>593</v>
      </c>
      <c r="B440" s="1" t="s">
        <v>36</v>
      </c>
      <c r="C440" s="1" t="s">
        <v>161</v>
      </c>
      <c r="D440" s="1" t="s">
        <v>162</v>
      </c>
      <c r="E440" s="1">
        <v>4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</row>
    <row r="441" spans="1:19">
      <c r="A441" s="1" t="s">
        <v>594</v>
      </c>
      <c r="B441" s="1" t="s">
        <v>36</v>
      </c>
      <c r="C441" s="1" t="s">
        <v>181</v>
      </c>
      <c r="D441" s="1" t="s">
        <v>162</v>
      </c>
      <c r="E441" s="1">
        <v>4.5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</row>
    <row r="442" spans="1:19">
      <c r="A442" s="1" t="s">
        <v>595</v>
      </c>
      <c r="B442" s="1" t="s">
        <v>36</v>
      </c>
      <c r="C442" s="1" t="s">
        <v>169</v>
      </c>
      <c r="D442" s="1" t="s">
        <v>162</v>
      </c>
      <c r="E442" s="1">
        <v>4.5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</row>
    <row r="443" spans="1:19">
      <c r="A443" s="1" t="s">
        <v>439</v>
      </c>
      <c r="B443" s="1" t="s">
        <v>36</v>
      </c>
      <c r="C443" s="1" t="s">
        <v>161</v>
      </c>
      <c r="D443" s="1" t="s">
        <v>162</v>
      </c>
      <c r="E443" s="1">
        <v>4.5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</row>
    <row r="444" spans="1:19">
      <c r="A444" s="1" t="s">
        <v>596</v>
      </c>
      <c r="B444" s="1" t="s">
        <v>36</v>
      </c>
      <c r="C444" s="1" t="s">
        <v>181</v>
      </c>
      <c r="D444" s="1" t="s">
        <v>162</v>
      </c>
      <c r="E444" s="1">
        <v>5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</row>
    <row r="445" spans="1:19">
      <c r="A445" s="1" t="s">
        <v>597</v>
      </c>
      <c r="B445" s="1" t="s">
        <v>36</v>
      </c>
      <c r="C445" s="1" t="s">
        <v>161</v>
      </c>
      <c r="D445" s="1" t="s">
        <v>162</v>
      </c>
      <c r="E445" s="1">
        <v>4.5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</row>
    <row r="446" spans="1:19">
      <c r="A446" s="1" t="s">
        <v>598</v>
      </c>
      <c r="B446" s="1" t="s">
        <v>36</v>
      </c>
      <c r="C446" s="1" t="s">
        <v>167</v>
      </c>
      <c r="D446" s="1" t="s">
        <v>162</v>
      </c>
      <c r="E446" s="1">
        <v>4.5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</row>
    <row r="447" spans="1:19">
      <c r="A447" s="1" t="s">
        <v>599</v>
      </c>
      <c r="B447" s="1" t="s">
        <v>24</v>
      </c>
      <c r="C447" s="1" t="s">
        <v>161</v>
      </c>
      <c r="D447" s="1" t="s">
        <v>162</v>
      </c>
      <c r="E447" s="1">
        <v>4.5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</row>
    <row r="448" spans="1:19">
      <c r="A448" s="1" t="s">
        <v>600</v>
      </c>
      <c r="B448" s="1" t="s">
        <v>24</v>
      </c>
      <c r="C448" s="1" t="s">
        <v>161</v>
      </c>
      <c r="D448" s="1" t="s">
        <v>162</v>
      </c>
      <c r="E448" s="1">
        <v>5</v>
      </c>
      <c r="F448" s="1">
        <v>0</v>
      </c>
      <c r="G448" s="1">
        <v>0</v>
      </c>
      <c r="H448" s="1">
        <v>0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</row>
    <row r="449" spans="1:19">
      <c r="A449" s="1" t="s">
        <v>601</v>
      </c>
      <c r="B449" s="1" t="s">
        <v>24</v>
      </c>
      <c r="C449" s="1" t="s">
        <v>167</v>
      </c>
      <c r="D449" s="1" t="s">
        <v>162</v>
      </c>
      <c r="E449" s="1">
        <v>5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</row>
    <row r="450" spans="1:19">
      <c r="A450" s="1" t="s">
        <v>602</v>
      </c>
      <c r="B450" s="1" t="s">
        <v>24</v>
      </c>
      <c r="C450" s="1" t="s">
        <v>181</v>
      </c>
      <c r="D450" s="1" t="s">
        <v>162</v>
      </c>
      <c r="E450" s="1">
        <v>6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</row>
    <row r="451" spans="1:19">
      <c r="A451" s="1" t="s">
        <v>603</v>
      </c>
      <c r="B451" s="1" t="s">
        <v>24</v>
      </c>
      <c r="C451" s="1" t="s">
        <v>181</v>
      </c>
      <c r="D451" s="1" t="s">
        <v>162</v>
      </c>
      <c r="E451" s="1">
        <v>7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</row>
    <row r="452" spans="1:19">
      <c r="A452" s="1" t="s">
        <v>604</v>
      </c>
      <c r="B452" s="1" t="s">
        <v>12</v>
      </c>
      <c r="C452" s="1" t="s">
        <v>169</v>
      </c>
      <c r="D452" s="1" t="s">
        <v>162</v>
      </c>
      <c r="E452" s="1">
        <v>5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</row>
    <row r="453" spans="1:19">
      <c r="A453" s="1" t="s">
        <v>605</v>
      </c>
      <c r="B453" s="1" t="s">
        <v>12</v>
      </c>
      <c r="C453" s="1" t="s">
        <v>169</v>
      </c>
      <c r="D453" s="1" t="s">
        <v>162</v>
      </c>
      <c r="E453" s="1">
        <v>5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</row>
    <row r="454" spans="1:19">
      <c r="A454" s="1" t="s">
        <v>606</v>
      </c>
      <c r="B454" s="1" t="s">
        <v>12</v>
      </c>
      <c r="C454" s="1" t="s">
        <v>161</v>
      </c>
      <c r="D454" s="1" t="s">
        <v>162</v>
      </c>
      <c r="E454" s="1">
        <v>5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</row>
    <row r="455" spans="1:19">
      <c r="A455" s="1" t="s">
        <v>607</v>
      </c>
      <c r="B455" s="1" t="s">
        <v>5</v>
      </c>
      <c r="C455" s="1" t="s">
        <v>167</v>
      </c>
      <c r="D455" s="1" t="s">
        <v>162</v>
      </c>
      <c r="E455" s="1">
        <v>4.5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</row>
    <row r="456" spans="1:19">
      <c r="A456" s="1" t="s">
        <v>608</v>
      </c>
      <c r="B456" s="1" t="s">
        <v>5</v>
      </c>
      <c r="C456" s="1" t="s">
        <v>181</v>
      </c>
      <c r="D456" s="1" t="s">
        <v>162</v>
      </c>
      <c r="E456" s="1">
        <v>6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</row>
    <row r="457" spans="1:19">
      <c r="A457" s="1" t="s">
        <v>609</v>
      </c>
      <c r="B457" s="1" t="s">
        <v>15</v>
      </c>
      <c r="C457" s="1" t="s">
        <v>161</v>
      </c>
      <c r="D457" s="1" t="s">
        <v>162</v>
      </c>
      <c r="E457" s="1">
        <v>4.5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</row>
    <row r="458" spans="1:19">
      <c r="A458" s="1" t="s">
        <v>610</v>
      </c>
      <c r="B458" s="1" t="s">
        <v>28</v>
      </c>
      <c r="C458" s="1" t="s">
        <v>167</v>
      </c>
      <c r="D458" s="1" t="s">
        <v>172</v>
      </c>
      <c r="E458" s="1">
        <v>4.5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</row>
    <row r="459" spans="1:19">
      <c r="A459" s="1" t="s">
        <v>611</v>
      </c>
      <c r="B459" s="1" t="s">
        <v>28</v>
      </c>
      <c r="C459" s="1" t="s">
        <v>161</v>
      </c>
      <c r="D459" s="1" t="s">
        <v>172</v>
      </c>
      <c r="E459" s="1">
        <v>5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</row>
    <row r="460" spans="1:19">
      <c r="A460" s="1" t="s">
        <v>612</v>
      </c>
      <c r="B460" s="1" t="s">
        <v>28</v>
      </c>
      <c r="C460" s="1" t="s">
        <v>181</v>
      </c>
      <c r="D460" s="1" t="s">
        <v>172</v>
      </c>
      <c r="E460" s="1">
        <v>5.5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</row>
    <row r="461" spans="1:19">
      <c r="A461" s="1" t="s">
        <v>613</v>
      </c>
      <c r="B461" s="1" t="s">
        <v>28</v>
      </c>
      <c r="C461" s="1" t="s">
        <v>169</v>
      </c>
      <c r="D461" s="1" t="s">
        <v>172</v>
      </c>
      <c r="E461" s="1">
        <v>7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</row>
    <row r="462" spans="1:19">
      <c r="A462" s="1" t="s">
        <v>614</v>
      </c>
      <c r="B462" s="1" t="s">
        <v>32</v>
      </c>
      <c r="C462" s="1" t="s">
        <v>161</v>
      </c>
      <c r="D462" s="1" t="s">
        <v>172</v>
      </c>
      <c r="E462" s="1">
        <v>4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</row>
    <row r="463" spans="1:19">
      <c r="A463" s="1" t="s">
        <v>615</v>
      </c>
      <c r="B463" s="1" t="s">
        <v>32</v>
      </c>
      <c r="C463" s="1" t="s">
        <v>169</v>
      </c>
      <c r="D463" s="1" t="s">
        <v>172</v>
      </c>
      <c r="E463" s="1">
        <v>4.5</v>
      </c>
      <c r="F463" s="1">
        <v>0</v>
      </c>
      <c r="G463" s="1">
        <v>0</v>
      </c>
      <c r="H463" s="1">
        <v>0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</row>
    <row r="464" spans="1:19">
      <c r="A464" s="1" t="s">
        <v>616</v>
      </c>
      <c r="B464" s="1" t="s">
        <v>32</v>
      </c>
      <c r="C464" s="1" t="s">
        <v>169</v>
      </c>
      <c r="D464" s="1" t="s">
        <v>172</v>
      </c>
      <c r="E464" s="1">
        <v>5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</row>
    <row r="465" spans="1:19">
      <c r="A465" s="1" t="s">
        <v>617</v>
      </c>
      <c r="B465" s="1" t="s">
        <v>32</v>
      </c>
      <c r="C465" s="1" t="s">
        <v>181</v>
      </c>
      <c r="D465" s="1" t="s">
        <v>172</v>
      </c>
      <c r="E465" s="1">
        <v>5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</row>
    <row r="466" spans="1:19">
      <c r="A466" s="1" t="s">
        <v>618</v>
      </c>
      <c r="B466" s="1" t="s">
        <v>32</v>
      </c>
      <c r="C466" s="1" t="s">
        <v>161</v>
      </c>
      <c r="D466" s="1" t="s">
        <v>172</v>
      </c>
      <c r="E466" s="1">
        <v>4.5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</row>
    <row r="467" spans="1:19">
      <c r="A467" s="1" t="s">
        <v>619</v>
      </c>
      <c r="B467" s="1" t="s">
        <v>32</v>
      </c>
      <c r="C467" s="1" t="s">
        <v>161</v>
      </c>
      <c r="D467" s="1" t="s">
        <v>172</v>
      </c>
      <c r="E467" s="1">
        <v>4.5</v>
      </c>
      <c r="F467" s="1">
        <v>0</v>
      </c>
      <c r="G467" s="1">
        <v>0</v>
      </c>
      <c r="H467" s="1">
        <v>0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</row>
    <row r="468" spans="1:19">
      <c r="A468" s="1" t="s">
        <v>620</v>
      </c>
      <c r="B468" s="1" t="s">
        <v>32</v>
      </c>
      <c r="C468" s="1" t="s">
        <v>161</v>
      </c>
      <c r="D468" s="1" t="s">
        <v>172</v>
      </c>
      <c r="E468" s="1">
        <v>4</v>
      </c>
      <c r="F468" s="1">
        <v>0</v>
      </c>
      <c r="G468" s="1">
        <v>0</v>
      </c>
      <c r="H468" s="1">
        <v>0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</row>
    <row r="469" spans="1:19">
      <c r="A469" s="1" t="s">
        <v>621</v>
      </c>
      <c r="B469" s="1" t="s">
        <v>32</v>
      </c>
      <c r="C469" s="1" t="s">
        <v>169</v>
      </c>
      <c r="D469" s="1" t="s">
        <v>172</v>
      </c>
      <c r="E469" s="1">
        <v>4.5</v>
      </c>
      <c r="F469" s="1">
        <v>0</v>
      </c>
      <c r="G469" s="1">
        <v>0</v>
      </c>
      <c r="H469" s="1">
        <v>0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</row>
    <row r="470" spans="1:19">
      <c r="A470" s="1" t="s">
        <v>622</v>
      </c>
      <c r="B470" s="1" t="s">
        <v>32</v>
      </c>
      <c r="C470" s="1" t="s">
        <v>167</v>
      </c>
      <c r="D470" s="1" t="s">
        <v>172</v>
      </c>
      <c r="E470" s="1">
        <v>4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</row>
    <row r="471" spans="1:19">
      <c r="A471" s="1" t="s">
        <v>623</v>
      </c>
      <c r="B471" s="1" t="s">
        <v>32</v>
      </c>
      <c r="C471" s="1" t="s">
        <v>169</v>
      </c>
      <c r="D471" s="1" t="s">
        <v>172</v>
      </c>
      <c r="E471" s="1">
        <v>4.5</v>
      </c>
      <c r="F471" s="1">
        <v>0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</row>
    <row r="472" spans="1:19">
      <c r="A472" s="1" t="s">
        <v>624</v>
      </c>
      <c r="B472" s="1" t="s">
        <v>32</v>
      </c>
      <c r="C472" s="1" t="s">
        <v>181</v>
      </c>
      <c r="D472" s="1" t="s">
        <v>172</v>
      </c>
      <c r="E472" s="1">
        <v>4.5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</row>
    <row r="473" spans="1:19">
      <c r="A473" s="1" t="s">
        <v>625</v>
      </c>
      <c r="B473" s="1" t="s">
        <v>32</v>
      </c>
      <c r="C473" s="1" t="s">
        <v>161</v>
      </c>
      <c r="D473" s="1" t="s">
        <v>172</v>
      </c>
      <c r="E473" s="1">
        <v>4.5</v>
      </c>
      <c r="F473" s="1">
        <v>0</v>
      </c>
      <c r="G473" s="1">
        <v>0</v>
      </c>
      <c r="H473" s="1">
        <v>0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</row>
    <row r="474" spans="1:19">
      <c r="A474" s="1" t="s">
        <v>626</v>
      </c>
      <c r="B474" s="1" t="s">
        <v>32</v>
      </c>
      <c r="C474" s="1" t="s">
        <v>181</v>
      </c>
      <c r="D474" s="1" t="s">
        <v>172</v>
      </c>
      <c r="E474" s="1">
        <v>5.5</v>
      </c>
      <c r="F474" s="1">
        <v>0</v>
      </c>
      <c r="G474" s="1">
        <v>0</v>
      </c>
      <c r="H474" s="1">
        <v>0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</row>
    <row r="475" spans="1:19">
      <c r="A475" s="1" t="s">
        <v>627</v>
      </c>
      <c r="B475" s="1" t="s">
        <v>32</v>
      </c>
      <c r="C475" s="1" t="s">
        <v>169</v>
      </c>
      <c r="D475" s="1" t="s">
        <v>172</v>
      </c>
      <c r="E475" s="1">
        <v>5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</row>
    <row r="476" spans="1:19">
      <c r="A476" s="1" t="s">
        <v>628</v>
      </c>
      <c r="B476" s="1" t="s">
        <v>32</v>
      </c>
      <c r="C476" s="1" t="s">
        <v>161</v>
      </c>
      <c r="D476" s="1" t="s">
        <v>172</v>
      </c>
      <c r="E476" s="1">
        <v>4.5</v>
      </c>
      <c r="F476" s="1">
        <v>0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</row>
    <row r="477" spans="1:19">
      <c r="A477" s="1" t="s">
        <v>629</v>
      </c>
      <c r="B477" s="1" t="s">
        <v>32</v>
      </c>
      <c r="C477" s="1" t="s">
        <v>161</v>
      </c>
      <c r="D477" s="1" t="s">
        <v>172</v>
      </c>
      <c r="E477" s="1">
        <v>4</v>
      </c>
      <c r="F477" s="1">
        <v>0</v>
      </c>
      <c r="G477" s="1">
        <v>0</v>
      </c>
      <c r="H477" s="1">
        <v>0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</row>
    <row r="478" spans="1:19">
      <c r="A478" s="1" t="s">
        <v>335</v>
      </c>
      <c r="B478" s="1" t="s">
        <v>32</v>
      </c>
      <c r="C478" s="1" t="s">
        <v>169</v>
      </c>
      <c r="D478" s="1" t="s">
        <v>172</v>
      </c>
      <c r="E478" s="1">
        <v>4.5</v>
      </c>
      <c r="F478" s="1">
        <v>0</v>
      </c>
      <c r="G478" s="1">
        <v>0</v>
      </c>
      <c r="H478" s="1">
        <v>0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</row>
    <row r="479" spans="1:19">
      <c r="A479" s="1" t="s">
        <v>630</v>
      </c>
      <c r="B479" s="1" t="s">
        <v>32</v>
      </c>
      <c r="C479" s="1" t="s">
        <v>167</v>
      </c>
      <c r="D479" s="1" t="s">
        <v>172</v>
      </c>
      <c r="E479" s="1">
        <v>4.5</v>
      </c>
      <c r="F479" s="1">
        <v>0</v>
      </c>
      <c r="G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</row>
    <row r="480" spans="1:19">
      <c r="A480" s="1" t="s">
        <v>631</v>
      </c>
      <c r="B480" s="1" t="s">
        <v>32</v>
      </c>
      <c r="C480" s="1" t="s">
        <v>169</v>
      </c>
      <c r="D480" s="1" t="s">
        <v>172</v>
      </c>
      <c r="E480" s="1">
        <v>4.5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</row>
    <row r="481" spans="1:19">
      <c r="A481" s="1" t="s">
        <v>632</v>
      </c>
      <c r="B481" s="1" t="s">
        <v>32</v>
      </c>
      <c r="C481" s="1" t="s">
        <v>181</v>
      </c>
      <c r="D481" s="1" t="s">
        <v>172</v>
      </c>
      <c r="E481" s="1">
        <v>5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</row>
    <row r="482" spans="1:19">
      <c r="A482" s="1" t="s">
        <v>633</v>
      </c>
      <c r="B482" s="1" t="s">
        <v>32</v>
      </c>
      <c r="C482" s="1" t="s">
        <v>161</v>
      </c>
      <c r="D482" s="1" t="s">
        <v>172</v>
      </c>
      <c r="E482" s="1">
        <v>4.5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</row>
    <row r="483" spans="1:19">
      <c r="A483" s="1" t="s">
        <v>634</v>
      </c>
      <c r="B483" s="1" t="s">
        <v>32</v>
      </c>
      <c r="C483" s="1" t="s">
        <v>161</v>
      </c>
      <c r="D483" s="1" t="s">
        <v>172</v>
      </c>
      <c r="E483" s="1">
        <v>4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</row>
    <row r="484" spans="1:19">
      <c r="A484" s="1" t="s">
        <v>433</v>
      </c>
      <c r="B484" s="1" t="s">
        <v>32</v>
      </c>
      <c r="C484" s="1" t="s">
        <v>169</v>
      </c>
      <c r="D484" s="1" t="s">
        <v>172</v>
      </c>
      <c r="E484" s="1">
        <v>4.5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</row>
    <row r="485" spans="1:19">
      <c r="A485" s="1" t="s">
        <v>635</v>
      </c>
      <c r="B485" s="1" t="s">
        <v>32</v>
      </c>
      <c r="C485" s="1" t="s">
        <v>167</v>
      </c>
      <c r="D485" s="1" t="s">
        <v>172</v>
      </c>
      <c r="E485" s="1">
        <v>4.5</v>
      </c>
      <c r="F485" s="1">
        <v>0</v>
      </c>
      <c r="G485" s="1">
        <v>0</v>
      </c>
      <c r="H485" s="1">
        <v>0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</row>
    <row r="486" spans="1:19">
      <c r="A486" s="1" t="s">
        <v>636</v>
      </c>
      <c r="B486" s="1" t="s">
        <v>32</v>
      </c>
      <c r="C486" s="1" t="s">
        <v>161</v>
      </c>
      <c r="D486" s="1" t="s">
        <v>172</v>
      </c>
      <c r="E486" s="1">
        <v>4.5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</row>
    <row r="487" spans="1:19">
      <c r="A487" s="1" t="s">
        <v>637</v>
      </c>
      <c r="B487" s="1" t="s">
        <v>30</v>
      </c>
      <c r="C487" s="1" t="s">
        <v>169</v>
      </c>
      <c r="D487" s="1" t="s">
        <v>172</v>
      </c>
      <c r="E487" s="1">
        <v>5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</row>
    <row r="488" spans="1:19">
      <c r="A488" s="1" t="s">
        <v>638</v>
      </c>
      <c r="B488" s="1" t="s">
        <v>1</v>
      </c>
      <c r="C488" s="1" t="s">
        <v>169</v>
      </c>
      <c r="D488" s="1" t="s">
        <v>162</v>
      </c>
      <c r="E488" s="1">
        <v>5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</row>
    <row r="489" spans="1:19">
      <c r="A489" s="1" t="s">
        <v>639</v>
      </c>
      <c r="B489" s="1" t="s">
        <v>1</v>
      </c>
      <c r="C489" s="1" t="s">
        <v>161</v>
      </c>
      <c r="D489" s="1" t="s">
        <v>162</v>
      </c>
      <c r="E489" s="1">
        <v>4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</row>
    <row r="490" spans="1:19">
      <c r="A490" s="1" t="s">
        <v>640</v>
      </c>
      <c r="B490" s="1" t="s">
        <v>1</v>
      </c>
      <c r="C490" s="1" t="s">
        <v>181</v>
      </c>
      <c r="D490" s="1" t="s">
        <v>162</v>
      </c>
      <c r="E490" s="1">
        <v>4.5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</row>
    <row r="491" spans="1:19">
      <c r="A491" s="1" t="s">
        <v>641</v>
      </c>
      <c r="B491" s="1" t="s">
        <v>1</v>
      </c>
      <c r="C491" s="1" t="s">
        <v>167</v>
      </c>
      <c r="D491" s="1" t="s">
        <v>162</v>
      </c>
      <c r="E491" s="1">
        <v>4.5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</row>
    <row r="492" spans="1:19">
      <c r="A492" s="1" t="s">
        <v>642</v>
      </c>
      <c r="B492" s="1" t="s">
        <v>1</v>
      </c>
      <c r="C492" s="1" t="s">
        <v>169</v>
      </c>
      <c r="D492" s="1" t="s">
        <v>162</v>
      </c>
      <c r="E492" s="1">
        <v>7.5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</row>
    <row r="493" spans="1:19">
      <c r="A493" s="1" t="s">
        <v>643</v>
      </c>
      <c r="B493" s="1" t="s">
        <v>3</v>
      </c>
      <c r="C493" s="1" t="s">
        <v>169</v>
      </c>
      <c r="D493" s="1" t="s">
        <v>162</v>
      </c>
      <c r="E493" s="1">
        <v>8.5</v>
      </c>
      <c r="F493" s="1">
        <v>0</v>
      </c>
      <c r="G493" s="1">
        <v>0</v>
      </c>
      <c r="H493" s="1">
        <v>0</v>
      </c>
      <c r="I493" s="1">
        <v>0</v>
      </c>
      <c r="J493" s="1">
        <v>0</v>
      </c>
      <c r="K493" s="1">
        <v>0</v>
      </c>
      <c r="L493" s="1">
        <v>0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</row>
    <row r="494" spans="1:19">
      <c r="A494" s="1" t="s">
        <v>302</v>
      </c>
      <c r="B494" s="1" t="s">
        <v>5</v>
      </c>
      <c r="C494" s="1" t="s">
        <v>161</v>
      </c>
      <c r="D494" s="1" t="s">
        <v>162</v>
      </c>
      <c r="E494" s="1">
        <v>5</v>
      </c>
      <c r="F494" s="1">
        <v>0</v>
      </c>
      <c r="G494" s="1">
        <v>57</v>
      </c>
      <c r="H494" s="1">
        <v>1</v>
      </c>
      <c r="I494" s="1">
        <v>0</v>
      </c>
      <c r="J494" s="1">
        <v>0</v>
      </c>
      <c r="K494" s="1">
        <v>0</v>
      </c>
      <c r="L494" s="1">
        <v>11.4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</row>
    <row r="495" spans="1:19">
      <c r="A495" s="1" t="s">
        <v>644</v>
      </c>
      <c r="B495" s="1" t="s">
        <v>24</v>
      </c>
      <c r="C495" s="1" t="s">
        <v>169</v>
      </c>
      <c r="D495" s="1" t="s">
        <v>162</v>
      </c>
      <c r="E495" s="1">
        <v>5.5</v>
      </c>
      <c r="F495" s="1">
        <v>0</v>
      </c>
      <c r="G495" s="1">
        <v>45</v>
      </c>
      <c r="H495" s="1">
        <v>1</v>
      </c>
      <c r="I495" s="1">
        <v>0</v>
      </c>
      <c r="J495" s="1">
        <v>0</v>
      </c>
      <c r="K495" s="1">
        <v>0</v>
      </c>
      <c r="L495" s="1">
        <v>8.18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</row>
    <row r="496" spans="1:19">
      <c r="A496" s="1" t="s">
        <v>645</v>
      </c>
      <c r="B496" s="1" t="s">
        <v>38</v>
      </c>
      <c r="C496" s="1" t="s">
        <v>169</v>
      </c>
      <c r="D496" s="1" t="s">
        <v>172</v>
      </c>
      <c r="E496" s="1">
        <v>5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  <c r="K496" s="1">
        <v>0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</row>
    <row r="497" spans="1:19">
      <c r="A497" s="1" t="s">
        <v>646</v>
      </c>
      <c r="B497" s="1" t="s">
        <v>3</v>
      </c>
      <c r="C497" s="1" t="s">
        <v>161</v>
      </c>
      <c r="D497" s="1" t="s">
        <v>162</v>
      </c>
      <c r="E497" s="1">
        <v>4.5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</row>
    <row r="498" spans="1:19">
      <c r="A498" s="1" t="s">
        <v>647</v>
      </c>
      <c r="B498" s="1" t="s">
        <v>8</v>
      </c>
      <c r="C498" s="1" t="s">
        <v>169</v>
      </c>
      <c r="D498" s="1" t="s">
        <v>162</v>
      </c>
      <c r="E498" s="1">
        <v>7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</row>
    <row r="499" spans="1:19">
      <c r="A499" s="1" t="s">
        <v>648</v>
      </c>
      <c r="B499" s="1" t="s">
        <v>8</v>
      </c>
      <c r="C499" s="1" t="s">
        <v>161</v>
      </c>
      <c r="D499" s="1" t="s">
        <v>162</v>
      </c>
      <c r="E499" s="1">
        <v>5.5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</row>
    <row r="500" spans="1:19">
      <c r="A500" s="1" t="s">
        <v>649</v>
      </c>
      <c r="B500" s="1" t="s">
        <v>20</v>
      </c>
      <c r="C500" s="1" t="s">
        <v>169</v>
      </c>
      <c r="D500" s="1" t="s">
        <v>172</v>
      </c>
      <c r="E500" s="1">
        <v>7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</row>
    <row r="501" spans="1:19">
      <c r="A501" s="1" t="s">
        <v>650</v>
      </c>
      <c r="B501" s="1" t="s">
        <v>5</v>
      </c>
      <c r="C501" s="1" t="s">
        <v>169</v>
      </c>
      <c r="D501" s="1" t="s">
        <v>162</v>
      </c>
      <c r="E501" s="1">
        <v>5.5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</row>
    <row r="502" spans="1:19">
      <c r="A502" s="1" t="s">
        <v>651</v>
      </c>
      <c r="B502" s="1" t="s">
        <v>32</v>
      </c>
      <c r="C502" s="1" t="s">
        <v>169</v>
      </c>
      <c r="D502" s="1" t="s">
        <v>172</v>
      </c>
      <c r="E502" s="1">
        <v>4.5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</row>
    <row r="503" spans="1:19">
      <c r="A503" s="1" t="s">
        <v>652</v>
      </c>
      <c r="B503" s="1" t="s">
        <v>1</v>
      </c>
      <c r="C503" s="1" t="s">
        <v>161</v>
      </c>
      <c r="D503" s="1" t="s">
        <v>162</v>
      </c>
      <c r="E503" s="1">
        <v>5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383"/>
  <sheetViews>
    <sheetView tabSelected="1" workbookViewId="0">
      <selection activeCell="H21" sqref="H21"/>
    </sheetView>
  </sheetViews>
  <sheetFormatPr defaultRowHeight="13.15"/>
  <cols>
    <col min="1" max="1" width="14.5703125" customWidth="1"/>
    <col min="2" max="2" width="12.7109375" customWidth="1"/>
    <col min="3" max="3" width="13.42578125" customWidth="1"/>
    <col min="4" max="7" width="25.42578125" customWidth="1"/>
    <col min="8" max="8" width="35.7109375" customWidth="1"/>
  </cols>
  <sheetData>
    <row r="1" spans="1:8">
      <c r="A1" s="38" t="s">
        <v>653</v>
      </c>
      <c r="B1" s="38" t="s">
        <v>654</v>
      </c>
      <c r="C1" s="38" t="s">
        <v>112</v>
      </c>
      <c r="D1" s="38" t="s">
        <v>655</v>
      </c>
      <c r="E1" s="38" t="s">
        <v>656</v>
      </c>
      <c r="F1" s="39" t="s">
        <v>657</v>
      </c>
      <c r="G1" s="38" t="s">
        <v>658</v>
      </c>
      <c r="H1" s="38" t="s">
        <v>659</v>
      </c>
    </row>
    <row r="2" spans="1:8">
      <c r="A2" s="48" t="s">
        <v>170</v>
      </c>
      <c r="B2" s="48" t="s">
        <v>660</v>
      </c>
      <c r="C2" s="48" t="s">
        <v>125</v>
      </c>
      <c r="D2" s="48">
        <v>233</v>
      </c>
      <c r="E2" s="48">
        <v>3373</v>
      </c>
      <c r="F2" s="49">
        <f t="shared" ref="F2:F65" si="0">D2/E2*90</f>
        <v>6.2170174918470211</v>
      </c>
      <c r="G2" s="48">
        <v>11.5</v>
      </c>
      <c r="H2" s="49">
        <f>(Table1[[#This Row],[Points Per 90 Minutes]]/G2)</f>
        <v>0.54061021668234965</v>
      </c>
    </row>
    <row r="3" spans="1:8">
      <c r="A3" s="48" t="s">
        <v>247</v>
      </c>
      <c r="B3" s="48" t="s">
        <v>661</v>
      </c>
      <c r="C3" s="48" t="s">
        <v>662</v>
      </c>
      <c r="D3" s="48">
        <v>216</v>
      </c>
      <c r="E3" s="48">
        <v>2532</v>
      </c>
      <c r="F3" s="49">
        <f t="shared" si="0"/>
        <v>7.677725118483413</v>
      </c>
      <c r="G3" s="48">
        <v>13</v>
      </c>
      <c r="H3" s="49">
        <f>(Table1[[#This Row],[Points Per 90 Minutes]]/G3)</f>
        <v>0.59059423988333948</v>
      </c>
    </row>
    <row r="4" spans="1:8">
      <c r="A4" s="48" t="s">
        <v>208</v>
      </c>
      <c r="B4" s="48" t="s">
        <v>660</v>
      </c>
      <c r="C4" s="48" t="s">
        <v>121</v>
      </c>
      <c r="D4" s="48">
        <v>207</v>
      </c>
      <c r="E4" s="48">
        <v>2944</v>
      </c>
      <c r="F4" s="49">
        <f t="shared" si="0"/>
        <v>6.328125</v>
      </c>
      <c r="G4" s="48">
        <v>11</v>
      </c>
      <c r="H4" s="49">
        <f>(Table1[[#This Row],[Points Per 90 Minutes]]/G4)</f>
        <v>0.57528409090909094</v>
      </c>
    </row>
    <row r="5" spans="1:8">
      <c r="A5" s="48" t="s">
        <v>233</v>
      </c>
      <c r="B5" s="48" t="s">
        <v>660</v>
      </c>
      <c r="C5" s="48" t="s">
        <v>662</v>
      </c>
      <c r="D5" s="48">
        <v>191</v>
      </c>
      <c r="E5" s="48">
        <v>2646</v>
      </c>
      <c r="F5" s="49">
        <f t="shared" si="0"/>
        <v>6.4965986394557822</v>
      </c>
      <c r="G5" s="48">
        <v>10</v>
      </c>
      <c r="H5" s="49">
        <f>(Table1[[#This Row],[Points Per 90 Minutes]]/G5)</f>
        <v>0.64965986394557818</v>
      </c>
    </row>
    <row r="6" spans="1:8">
      <c r="A6" s="48" t="s">
        <v>241</v>
      </c>
      <c r="B6" s="48" t="s">
        <v>661</v>
      </c>
      <c r="C6" s="48" t="s">
        <v>663</v>
      </c>
      <c r="D6" s="48">
        <v>191</v>
      </c>
      <c r="E6" s="48">
        <v>2581</v>
      </c>
      <c r="F6" s="49">
        <f t="shared" si="0"/>
        <v>6.6602092212320798</v>
      </c>
      <c r="G6" s="48">
        <v>9.5</v>
      </c>
      <c r="H6" s="49">
        <f>(Table1[[#This Row],[Points Per 90 Minutes]]/G6)</f>
        <v>0.70107465486653475</v>
      </c>
    </row>
    <row r="7" spans="1:8">
      <c r="A7" s="48" t="s">
        <v>160</v>
      </c>
      <c r="B7" s="48" t="s">
        <v>664</v>
      </c>
      <c r="C7" s="48" t="s">
        <v>125</v>
      </c>
      <c r="D7" s="48">
        <v>179</v>
      </c>
      <c r="E7" s="48">
        <v>3420</v>
      </c>
      <c r="F7" s="49">
        <f t="shared" si="0"/>
        <v>4.7105263157894735</v>
      </c>
      <c r="G7" s="48">
        <v>7</v>
      </c>
      <c r="H7" s="49">
        <f>(Table1[[#This Row],[Points Per 90 Minutes]]/G7)</f>
        <v>0.6729323308270676</v>
      </c>
    </row>
    <row r="8" spans="1:8">
      <c r="A8" s="48" t="s">
        <v>163</v>
      </c>
      <c r="B8" s="48" t="s">
        <v>664</v>
      </c>
      <c r="C8" s="48" t="s">
        <v>125</v>
      </c>
      <c r="D8" s="48">
        <v>177</v>
      </c>
      <c r="E8" s="48">
        <v>3420</v>
      </c>
      <c r="F8" s="49">
        <f t="shared" si="0"/>
        <v>4.6578947368421053</v>
      </c>
      <c r="G8" s="48">
        <v>7</v>
      </c>
      <c r="H8" s="49">
        <f>(Table1[[#This Row],[Points Per 90 Minutes]]/G8)</f>
        <v>0.66541353383458646</v>
      </c>
    </row>
    <row r="9" spans="1:8">
      <c r="A9" s="48" t="s">
        <v>205</v>
      </c>
      <c r="B9" s="48" t="s">
        <v>660</v>
      </c>
      <c r="C9" s="48" t="s">
        <v>121</v>
      </c>
      <c r="D9" s="48">
        <v>168</v>
      </c>
      <c r="E9" s="48">
        <v>2990</v>
      </c>
      <c r="F9" s="49">
        <f t="shared" si="0"/>
        <v>5.0568561872909701</v>
      </c>
      <c r="G9" s="48">
        <v>8.5</v>
      </c>
      <c r="H9" s="49">
        <f>(Table1[[#This Row],[Points Per 90 Minutes]]/G9)</f>
        <v>0.59492425732834942</v>
      </c>
    </row>
    <row r="10" spans="1:8">
      <c r="A10" s="48" t="s">
        <v>212</v>
      </c>
      <c r="B10" s="48" t="s">
        <v>660</v>
      </c>
      <c r="C10" s="48" t="s">
        <v>125</v>
      </c>
      <c r="D10" s="48">
        <v>165</v>
      </c>
      <c r="E10" s="48">
        <v>2884</v>
      </c>
      <c r="F10" s="49">
        <f t="shared" si="0"/>
        <v>5.1490984743411934</v>
      </c>
      <c r="G10" s="48">
        <v>9</v>
      </c>
      <c r="H10" s="49">
        <f>(Table1[[#This Row],[Points Per 90 Minutes]]/G10)</f>
        <v>0.57212205270457706</v>
      </c>
    </row>
    <row r="11" spans="1:8">
      <c r="A11" s="48" t="s">
        <v>183</v>
      </c>
      <c r="B11" s="48" t="s">
        <v>660</v>
      </c>
      <c r="C11" s="48" t="s">
        <v>129</v>
      </c>
      <c r="D11" s="48">
        <v>162</v>
      </c>
      <c r="E11" s="48">
        <v>3256</v>
      </c>
      <c r="F11" s="49">
        <f t="shared" si="0"/>
        <v>4.4778869778869783</v>
      </c>
      <c r="G11" s="48">
        <v>7</v>
      </c>
      <c r="H11" s="49">
        <f>(Table1[[#This Row],[Points Per 90 Minutes]]/G11)</f>
        <v>0.63969813969813971</v>
      </c>
    </row>
    <row r="12" spans="1:8">
      <c r="A12" s="48" t="s">
        <v>192</v>
      </c>
      <c r="B12" s="48" t="s">
        <v>660</v>
      </c>
      <c r="C12" s="48" t="s">
        <v>663</v>
      </c>
      <c r="D12" s="48">
        <v>162</v>
      </c>
      <c r="E12" s="48">
        <v>3132</v>
      </c>
      <c r="F12" s="49">
        <f t="shared" si="0"/>
        <v>4.6551724137931032</v>
      </c>
      <c r="G12" s="48">
        <v>8.5</v>
      </c>
      <c r="H12" s="49">
        <f>(Table1[[#This Row],[Points Per 90 Minutes]]/G12)</f>
        <v>0.54766734279918861</v>
      </c>
    </row>
    <row r="13" spans="1:8">
      <c r="A13" s="48" t="s">
        <v>262</v>
      </c>
      <c r="B13" s="48" t="s">
        <v>660</v>
      </c>
      <c r="C13" s="48" t="s">
        <v>663</v>
      </c>
      <c r="D13" s="48">
        <v>160</v>
      </c>
      <c r="E13" s="48">
        <v>2407</v>
      </c>
      <c r="F13" s="49">
        <f t="shared" si="0"/>
        <v>5.9825508932280842</v>
      </c>
      <c r="G13" s="48">
        <v>7</v>
      </c>
      <c r="H13" s="49">
        <f>(Table1[[#This Row],[Points Per 90 Minutes]]/G13)</f>
        <v>0.85465012760401204</v>
      </c>
    </row>
    <row r="14" spans="1:8">
      <c r="A14" s="48" t="s">
        <v>176</v>
      </c>
      <c r="B14" s="48" t="s">
        <v>660</v>
      </c>
      <c r="C14" s="48" t="s">
        <v>665</v>
      </c>
      <c r="D14" s="48">
        <v>160</v>
      </c>
      <c r="E14" s="48">
        <v>3312</v>
      </c>
      <c r="F14" s="49">
        <f t="shared" si="0"/>
        <v>4.3478260869565215</v>
      </c>
      <c r="G14" s="48">
        <v>6</v>
      </c>
      <c r="H14" s="49">
        <f>(Table1[[#This Row],[Points Per 90 Minutes]]/G14)</f>
        <v>0.72463768115942029</v>
      </c>
    </row>
    <row r="15" spans="1:8">
      <c r="A15" s="48" t="s">
        <v>201</v>
      </c>
      <c r="B15" s="48" t="s">
        <v>660</v>
      </c>
      <c r="C15" s="48" t="s">
        <v>129</v>
      </c>
      <c r="D15" s="48">
        <v>158</v>
      </c>
      <c r="E15" s="48">
        <v>3047</v>
      </c>
      <c r="F15" s="49">
        <f t="shared" si="0"/>
        <v>4.6668854611092874</v>
      </c>
      <c r="G15" s="48">
        <v>9</v>
      </c>
      <c r="H15" s="49">
        <f>(Table1[[#This Row],[Points Per 90 Minutes]]/G15)</f>
        <v>0.51854282901214299</v>
      </c>
    </row>
    <row r="16" spans="1:8">
      <c r="A16" s="48" t="s">
        <v>229</v>
      </c>
      <c r="B16" s="48" t="s">
        <v>660</v>
      </c>
      <c r="C16" s="48" t="s">
        <v>666</v>
      </c>
      <c r="D16" s="48">
        <v>154</v>
      </c>
      <c r="E16" s="48">
        <v>2682</v>
      </c>
      <c r="F16" s="49">
        <f t="shared" si="0"/>
        <v>5.1677852348993287</v>
      </c>
      <c r="G16" s="48">
        <v>7.5</v>
      </c>
      <c r="H16" s="49">
        <f>(Table1[[#This Row],[Points Per 90 Minutes]]/G16)</f>
        <v>0.68903803131991048</v>
      </c>
    </row>
    <row r="17" spans="1:8">
      <c r="A17" s="48" t="s">
        <v>177</v>
      </c>
      <c r="B17" s="48" t="s">
        <v>667</v>
      </c>
      <c r="C17" s="48" t="s">
        <v>666</v>
      </c>
      <c r="D17" s="48">
        <v>151</v>
      </c>
      <c r="E17" s="48">
        <v>3307</v>
      </c>
      <c r="F17" s="49">
        <f t="shared" si="0"/>
        <v>4.109464771696401</v>
      </c>
      <c r="G17" s="48">
        <v>5</v>
      </c>
      <c r="H17" s="49">
        <f>(Table1[[#This Row],[Points Per 90 Minutes]]/G17)</f>
        <v>0.82189295433928022</v>
      </c>
    </row>
    <row r="18" spans="1:8">
      <c r="A18" s="48" t="s">
        <v>305</v>
      </c>
      <c r="B18" s="48" t="s">
        <v>661</v>
      </c>
      <c r="C18" s="48" t="s">
        <v>125</v>
      </c>
      <c r="D18" s="48">
        <v>150</v>
      </c>
      <c r="E18" s="48">
        <v>2069</v>
      </c>
      <c r="F18" s="49">
        <f t="shared" si="0"/>
        <v>6.5248912518124698</v>
      </c>
      <c r="G18" s="48">
        <v>11</v>
      </c>
      <c r="H18" s="49">
        <f>(Table1[[#This Row],[Points Per 90 Minutes]]/G18)</f>
        <v>0.59317193198295182</v>
      </c>
    </row>
    <row r="19" spans="1:8">
      <c r="A19" s="48" t="s">
        <v>186</v>
      </c>
      <c r="B19" s="48" t="s">
        <v>667</v>
      </c>
      <c r="C19" s="48" t="s">
        <v>129</v>
      </c>
      <c r="D19" s="48">
        <v>149</v>
      </c>
      <c r="E19" s="48">
        <v>3225</v>
      </c>
      <c r="F19" s="49">
        <f t="shared" si="0"/>
        <v>4.1581395348837207</v>
      </c>
      <c r="G19" s="48">
        <v>5</v>
      </c>
      <c r="H19" s="49">
        <f>(Table1[[#This Row],[Points Per 90 Minutes]]/G19)</f>
        <v>0.83162790697674416</v>
      </c>
    </row>
    <row r="20" spans="1:8">
      <c r="A20" s="48" t="s">
        <v>180</v>
      </c>
      <c r="B20" s="48" t="s">
        <v>661</v>
      </c>
      <c r="C20" s="48" t="s">
        <v>134</v>
      </c>
      <c r="D20" s="48">
        <v>149</v>
      </c>
      <c r="E20" s="48">
        <v>3281</v>
      </c>
      <c r="F20" s="49">
        <f t="shared" si="0"/>
        <v>4.0871685461749463</v>
      </c>
      <c r="G20" s="48">
        <v>8</v>
      </c>
      <c r="H20" s="49">
        <f>(Table1[[#This Row],[Points Per 90 Minutes]]/G20)</f>
        <v>0.51089606827186829</v>
      </c>
    </row>
    <row r="21" spans="1:8">
      <c r="A21" s="48" t="s">
        <v>209</v>
      </c>
      <c r="B21" s="48" t="s">
        <v>661</v>
      </c>
      <c r="C21" s="48" t="s">
        <v>668</v>
      </c>
      <c r="D21" s="48">
        <v>148</v>
      </c>
      <c r="E21" s="48">
        <v>2925</v>
      </c>
      <c r="F21" s="49">
        <f t="shared" si="0"/>
        <v>4.5538461538461545</v>
      </c>
      <c r="G21" s="48">
        <v>6.5</v>
      </c>
      <c r="H21" s="49">
        <f>(Table1[[#This Row],[Points Per 90 Minutes]]/G21)</f>
        <v>0.70059171597633152</v>
      </c>
    </row>
    <row r="22" spans="1:8">
      <c r="A22" s="48" t="s">
        <v>178</v>
      </c>
      <c r="B22" s="48" t="s">
        <v>664</v>
      </c>
      <c r="C22" s="48" t="s">
        <v>127</v>
      </c>
      <c r="D22" s="48">
        <v>142</v>
      </c>
      <c r="E22" s="48">
        <v>3285</v>
      </c>
      <c r="F22" s="49">
        <f t="shared" si="0"/>
        <v>3.8904109589041096</v>
      </c>
      <c r="G22" s="48">
        <v>5.5</v>
      </c>
      <c r="H22" s="49">
        <f>(Table1[[#This Row],[Points Per 90 Minutes]]/G22)</f>
        <v>0.70734744707347452</v>
      </c>
    </row>
    <row r="23" spans="1:8">
      <c r="A23" s="48" t="s">
        <v>191</v>
      </c>
      <c r="B23" s="48" t="s">
        <v>664</v>
      </c>
      <c r="C23" s="48" t="s">
        <v>129</v>
      </c>
      <c r="D23" s="48">
        <v>142</v>
      </c>
      <c r="E23" s="48">
        <v>3146</v>
      </c>
      <c r="F23" s="49">
        <f t="shared" si="0"/>
        <v>4.0623013350286072</v>
      </c>
      <c r="G23" s="48">
        <v>5.5</v>
      </c>
      <c r="H23" s="49">
        <f>(Table1[[#This Row],[Points Per 90 Minutes]]/G23)</f>
        <v>0.73860024273247404</v>
      </c>
    </row>
    <row r="24" spans="1:8">
      <c r="A24" s="48" t="s">
        <v>185</v>
      </c>
      <c r="B24" s="48" t="s">
        <v>667</v>
      </c>
      <c r="C24" s="48" t="s">
        <v>662</v>
      </c>
      <c r="D24" s="48">
        <v>142</v>
      </c>
      <c r="E24" s="48">
        <v>3240</v>
      </c>
      <c r="F24" s="49">
        <f t="shared" si="0"/>
        <v>3.9444444444444446</v>
      </c>
      <c r="G24" s="48">
        <v>5.5</v>
      </c>
      <c r="H24" s="49">
        <f>(Table1[[#This Row],[Points Per 90 Minutes]]/G24)</f>
        <v>0.71717171717171724</v>
      </c>
    </row>
    <row r="25" spans="1:8">
      <c r="A25" s="48" t="s">
        <v>166</v>
      </c>
      <c r="B25" s="48" t="s">
        <v>667</v>
      </c>
      <c r="C25" s="48" t="s">
        <v>665</v>
      </c>
      <c r="D25" s="48">
        <v>142</v>
      </c>
      <c r="E25" s="48">
        <v>3390</v>
      </c>
      <c r="F25" s="49">
        <f t="shared" si="0"/>
        <v>3.7699115044247788</v>
      </c>
      <c r="G25" s="48">
        <v>5</v>
      </c>
      <c r="H25" s="49">
        <f>(Table1[[#This Row],[Points Per 90 Minutes]]/G25)</f>
        <v>0.75398230088495577</v>
      </c>
    </row>
    <row r="26" spans="1:8">
      <c r="A26" s="48" t="s">
        <v>199</v>
      </c>
      <c r="B26" s="48" t="s">
        <v>664</v>
      </c>
      <c r="C26" s="48" t="s">
        <v>134</v>
      </c>
      <c r="D26" s="48">
        <v>140</v>
      </c>
      <c r="E26" s="48">
        <v>3053</v>
      </c>
      <c r="F26" s="49">
        <f t="shared" si="0"/>
        <v>4.1270881100556833</v>
      </c>
      <c r="G26" s="48">
        <v>5.5</v>
      </c>
      <c r="H26" s="49">
        <f>(Table1[[#This Row],[Points Per 90 Minutes]]/G26)</f>
        <v>0.75037965637376058</v>
      </c>
    </row>
    <row r="27" spans="1:8">
      <c r="A27" s="48" t="s">
        <v>223</v>
      </c>
      <c r="B27" s="48" t="s">
        <v>664</v>
      </c>
      <c r="C27" s="48" t="s">
        <v>127</v>
      </c>
      <c r="D27" s="48">
        <v>139</v>
      </c>
      <c r="E27" s="48">
        <v>2773</v>
      </c>
      <c r="F27" s="49">
        <f t="shared" si="0"/>
        <v>4.5113595384060581</v>
      </c>
      <c r="G27" s="48">
        <v>6.5</v>
      </c>
      <c r="H27" s="49">
        <f>(Table1[[#This Row],[Points Per 90 Minutes]]/G27)</f>
        <v>0.69405531360093198</v>
      </c>
    </row>
    <row r="28" spans="1:8">
      <c r="A28" s="48" t="s">
        <v>203</v>
      </c>
      <c r="B28" s="48" t="s">
        <v>661</v>
      </c>
      <c r="C28" s="48" t="s">
        <v>129</v>
      </c>
      <c r="D28" s="48">
        <v>139</v>
      </c>
      <c r="E28" s="48">
        <v>3025</v>
      </c>
      <c r="F28" s="49">
        <f t="shared" si="0"/>
        <v>4.1355371900826441</v>
      </c>
      <c r="G28" s="48">
        <v>7.5</v>
      </c>
      <c r="H28" s="49">
        <f>(Table1[[#This Row],[Points Per 90 Minutes]]/G28)</f>
        <v>0.55140495867768591</v>
      </c>
    </row>
    <row r="29" spans="1:8">
      <c r="A29" s="48" t="s">
        <v>173</v>
      </c>
      <c r="B29" s="48" t="s">
        <v>664</v>
      </c>
      <c r="C29" s="48" t="s">
        <v>134</v>
      </c>
      <c r="D29" s="48">
        <v>139</v>
      </c>
      <c r="E29" s="48">
        <v>3330</v>
      </c>
      <c r="F29" s="49">
        <f t="shared" si="0"/>
        <v>3.756756756756757</v>
      </c>
      <c r="G29" s="48">
        <v>5.5</v>
      </c>
      <c r="H29" s="49">
        <f>(Table1[[#This Row],[Points Per 90 Minutes]]/G29)</f>
        <v>0.68304668304668315</v>
      </c>
    </row>
    <row r="30" spans="1:8">
      <c r="A30" s="48" t="s">
        <v>175</v>
      </c>
      <c r="B30" s="48" t="s">
        <v>667</v>
      </c>
      <c r="C30" s="48" t="s">
        <v>669</v>
      </c>
      <c r="D30" s="48">
        <v>138</v>
      </c>
      <c r="E30" s="48">
        <v>3313</v>
      </c>
      <c r="F30" s="49">
        <f t="shared" si="0"/>
        <v>3.748868095381829</v>
      </c>
      <c r="G30" s="48">
        <v>5.5</v>
      </c>
      <c r="H30" s="49">
        <f>(Table1[[#This Row],[Points Per 90 Minutes]]/G30)</f>
        <v>0.6816123809785144</v>
      </c>
    </row>
    <row r="31" spans="1:8">
      <c r="A31" s="48" t="s">
        <v>276</v>
      </c>
      <c r="B31" s="48" t="s">
        <v>660</v>
      </c>
      <c r="C31" s="48" t="s">
        <v>669</v>
      </c>
      <c r="D31" s="48">
        <v>138</v>
      </c>
      <c r="E31" s="48">
        <v>2304</v>
      </c>
      <c r="F31" s="49">
        <f t="shared" si="0"/>
        <v>5.390625</v>
      </c>
      <c r="G31" s="48">
        <v>8.5</v>
      </c>
      <c r="H31" s="49">
        <f>(Table1[[#This Row],[Points Per 90 Minutes]]/G31)</f>
        <v>0.6341911764705882</v>
      </c>
    </row>
    <row r="32" spans="1:8">
      <c r="A32" s="48" t="s">
        <v>295</v>
      </c>
      <c r="B32" s="48" t="s">
        <v>660</v>
      </c>
      <c r="C32" s="48" t="s">
        <v>134</v>
      </c>
      <c r="D32" s="48">
        <v>137</v>
      </c>
      <c r="E32" s="48">
        <v>2132</v>
      </c>
      <c r="F32" s="49">
        <f t="shared" si="0"/>
        <v>5.7833020637898684</v>
      </c>
      <c r="G32" s="48">
        <v>8</v>
      </c>
      <c r="H32" s="49">
        <f>(Table1[[#This Row],[Points Per 90 Minutes]]/G32)</f>
        <v>0.72291275797373356</v>
      </c>
    </row>
    <row r="33" spans="1:8">
      <c r="A33" s="48" t="s">
        <v>213</v>
      </c>
      <c r="B33" s="48" t="s">
        <v>661</v>
      </c>
      <c r="C33" s="48" t="s">
        <v>127</v>
      </c>
      <c r="D33" s="48">
        <v>135</v>
      </c>
      <c r="E33" s="48">
        <v>2872</v>
      </c>
      <c r="F33" s="49">
        <f t="shared" si="0"/>
        <v>4.2305013927576596</v>
      </c>
      <c r="G33" s="48">
        <v>8</v>
      </c>
      <c r="H33" s="49">
        <f>(Table1[[#This Row],[Points Per 90 Minutes]]/G33)</f>
        <v>0.52881267409470745</v>
      </c>
    </row>
    <row r="34" spans="1:8">
      <c r="A34" s="48" t="s">
        <v>222</v>
      </c>
      <c r="B34" s="48" t="s">
        <v>660</v>
      </c>
      <c r="C34" s="48" t="s">
        <v>129</v>
      </c>
      <c r="D34" s="48">
        <v>134</v>
      </c>
      <c r="E34" s="48">
        <v>2792</v>
      </c>
      <c r="F34" s="49">
        <f t="shared" si="0"/>
        <v>4.3194842406876788</v>
      </c>
      <c r="G34" s="48">
        <v>8</v>
      </c>
      <c r="H34" s="49">
        <f>(Table1[[#This Row],[Points Per 90 Minutes]]/G34)</f>
        <v>0.53993553008595985</v>
      </c>
    </row>
    <row r="35" spans="1:8">
      <c r="A35" s="48" t="s">
        <v>271</v>
      </c>
      <c r="B35" s="48" t="s">
        <v>660</v>
      </c>
      <c r="C35" s="48" t="s">
        <v>662</v>
      </c>
      <c r="D35" s="48">
        <v>134</v>
      </c>
      <c r="E35" s="48">
        <v>2353</v>
      </c>
      <c r="F35" s="49">
        <f t="shared" si="0"/>
        <v>5.1253718657033573</v>
      </c>
      <c r="G35" s="48">
        <v>8.5</v>
      </c>
      <c r="H35" s="49">
        <f>(Table1[[#This Row],[Points Per 90 Minutes]]/G35)</f>
        <v>0.60298492537686554</v>
      </c>
    </row>
    <row r="36" spans="1:8">
      <c r="A36" s="48" t="s">
        <v>253</v>
      </c>
      <c r="B36" s="48" t="s">
        <v>664</v>
      </c>
      <c r="C36" s="48" t="s">
        <v>125</v>
      </c>
      <c r="D36" s="48">
        <v>132</v>
      </c>
      <c r="E36" s="48">
        <v>2481</v>
      </c>
      <c r="F36" s="49">
        <f t="shared" si="0"/>
        <v>4.7883917775090685</v>
      </c>
      <c r="G36" s="48">
        <v>6</v>
      </c>
      <c r="H36" s="49">
        <f>(Table1[[#This Row],[Points Per 90 Minutes]]/G36)</f>
        <v>0.79806529625151146</v>
      </c>
    </row>
    <row r="37" spans="1:8">
      <c r="A37" s="48" t="s">
        <v>224</v>
      </c>
      <c r="B37" s="48" t="s">
        <v>660</v>
      </c>
      <c r="C37" s="48" t="s">
        <v>126</v>
      </c>
      <c r="D37" s="48">
        <v>132</v>
      </c>
      <c r="E37" s="48">
        <v>2771</v>
      </c>
      <c r="F37" s="49">
        <f t="shared" si="0"/>
        <v>4.2872609166365931</v>
      </c>
      <c r="G37" s="48">
        <v>6.5</v>
      </c>
      <c r="H37" s="49">
        <f>(Table1[[#This Row],[Points Per 90 Minutes]]/G37)</f>
        <v>0.65957860255947587</v>
      </c>
    </row>
    <row r="38" spans="1:8">
      <c r="A38" s="48" t="s">
        <v>214</v>
      </c>
      <c r="B38" s="48" t="s">
        <v>661</v>
      </c>
      <c r="C38" s="48" t="s">
        <v>669</v>
      </c>
      <c r="D38" s="48">
        <v>132</v>
      </c>
      <c r="E38" s="48">
        <v>2872</v>
      </c>
      <c r="F38" s="49">
        <f t="shared" si="0"/>
        <v>4.1364902506963785</v>
      </c>
      <c r="G38" s="48">
        <v>10.5</v>
      </c>
      <c r="H38" s="49">
        <f>(Table1[[#This Row],[Points Per 90 Minutes]]/G38)</f>
        <v>0.39395145244727414</v>
      </c>
    </row>
    <row r="39" spans="1:8">
      <c r="A39" s="48" t="s">
        <v>206</v>
      </c>
      <c r="B39" s="48" t="s">
        <v>664</v>
      </c>
      <c r="C39" s="48" t="s">
        <v>125</v>
      </c>
      <c r="D39" s="48">
        <v>130</v>
      </c>
      <c r="E39" s="48">
        <v>2986</v>
      </c>
      <c r="F39" s="49">
        <f t="shared" si="0"/>
        <v>3.9182853315472204</v>
      </c>
      <c r="G39" s="48">
        <v>6.5</v>
      </c>
      <c r="H39" s="49">
        <f>(Table1[[#This Row],[Points Per 90 Minutes]]/G39)</f>
        <v>0.60281312793034159</v>
      </c>
    </row>
    <row r="40" spans="1:8">
      <c r="A40" s="48" t="s">
        <v>195</v>
      </c>
      <c r="B40" s="48" t="s">
        <v>664</v>
      </c>
      <c r="C40" s="48" t="s">
        <v>127</v>
      </c>
      <c r="D40" s="48">
        <v>130</v>
      </c>
      <c r="E40" s="48">
        <v>3066</v>
      </c>
      <c r="F40" s="49">
        <f t="shared" si="0"/>
        <v>3.8160469667318981</v>
      </c>
      <c r="G40" s="48">
        <v>6</v>
      </c>
      <c r="H40" s="49">
        <f>(Table1[[#This Row],[Points Per 90 Minutes]]/G40)</f>
        <v>0.63600782778864973</v>
      </c>
    </row>
    <row r="41" spans="1:8">
      <c r="A41" s="48" t="s">
        <v>265</v>
      </c>
      <c r="B41" s="48" t="s">
        <v>661</v>
      </c>
      <c r="C41" s="48" t="s">
        <v>670</v>
      </c>
      <c r="D41" s="48">
        <v>130</v>
      </c>
      <c r="E41" s="48">
        <v>2398</v>
      </c>
      <c r="F41" s="49">
        <f t="shared" si="0"/>
        <v>4.8790658882402003</v>
      </c>
      <c r="G41" s="48">
        <v>6</v>
      </c>
      <c r="H41" s="49">
        <f>(Table1[[#This Row],[Points Per 90 Minutes]]/G41)</f>
        <v>0.81317764804003334</v>
      </c>
    </row>
    <row r="42" spans="1:8">
      <c r="A42" s="48" t="s">
        <v>228</v>
      </c>
      <c r="B42" s="48" t="s">
        <v>660</v>
      </c>
      <c r="C42" s="48" t="s">
        <v>666</v>
      </c>
      <c r="D42" s="48">
        <v>129</v>
      </c>
      <c r="E42" s="48">
        <v>2689</v>
      </c>
      <c r="F42" s="49">
        <f t="shared" si="0"/>
        <v>4.3175901822238751</v>
      </c>
      <c r="G42" s="48">
        <v>5.5</v>
      </c>
      <c r="H42" s="49">
        <f>(Table1[[#This Row],[Points Per 90 Minutes]]/G42)</f>
        <v>0.7850163967679773</v>
      </c>
    </row>
    <row r="43" spans="1:8">
      <c r="A43" s="48" t="s">
        <v>164</v>
      </c>
      <c r="B43" s="48" t="s">
        <v>664</v>
      </c>
      <c r="C43" s="48" t="s">
        <v>665</v>
      </c>
      <c r="D43" s="48">
        <v>129</v>
      </c>
      <c r="E43" s="48">
        <v>3420</v>
      </c>
      <c r="F43" s="49">
        <f t="shared" si="0"/>
        <v>3.3947368421052633</v>
      </c>
      <c r="G43" s="48">
        <v>5.5</v>
      </c>
      <c r="H43" s="49">
        <f>(Table1[[#This Row],[Points Per 90 Minutes]]/G43)</f>
        <v>0.61722488038277512</v>
      </c>
    </row>
    <row r="44" spans="1:8">
      <c r="A44" s="48" t="s">
        <v>218</v>
      </c>
      <c r="B44" s="48" t="s">
        <v>660</v>
      </c>
      <c r="C44" s="48" t="s">
        <v>126</v>
      </c>
      <c r="D44" s="48">
        <v>128</v>
      </c>
      <c r="E44" s="48">
        <v>2823</v>
      </c>
      <c r="F44" s="49">
        <f t="shared" si="0"/>
        <v>4.0807651434643999</v>
      </c>
      <c r="G44" s="48">
        <v>6</v>
      </c>
      <c r="H44" s="49">
        <f>(Table1[[#This Row],[Points Per 90 Minutes]]/G44)</f>
        <v>0.68012752391073328</v>
      </c>
    </row>
    <row r="45" spans="1:8">
      <c r="A45" s="48" t="s">
        <v>256</v>
      </c>
      <c r="B45" s="48" t="s">
        <v>661</v>
      </c>
      <c r="C45" s="48" t="s">
        <v>671</v>
      </c>
      <c r="D45" s="48">
        <v>128</v>
      </c>
      <c r="E45" s="48">
        <v>2434</v>
      </c>
      <c r="F45" s="49">
        <f t="shared" si="0"/>
        <v>4.7329498767460967</v>
      </c>
      <c r="G45" s="48">
        <v>6.5</v>
      </c>
      <c r="H45" s="49">
        <f>(Table1[[#This Row],[Points Per 90 Minutes]]/G45)</f>
        <v>0.72814613488401492</v>
      </c>
    </row>
    <row r="46" spans="1:8">
      <c r="A46" s="48" t="s">
        <v>211</v>
      </c>
      <c r="B46" s="48" t="s">
        <v>660</v>
      </c>
      <c r="C46" s="48" t="s">
        <v>668</v>
      </c>
      <c r="D46" s="48">
        <v>128</v>
      </c>
      <c r="E46" s="48">
        <v>2892</v>
      </c>
      <c r="F46" s="49">
        <f t="shared" si="0"/>
        <v>3.9834024896265561</v>
      </c>
      <c r="G46" s="48">
        <v>5.5</v>
      </c>
      <c r="H46" s="49">
        <f>(Table1[[#This Row],[Points Per 90 Minutes]]/G46)</f>
        <v>0.72425499811391925</v>
      </c>
    </row>
    <row r="47" spans="1:8">
      <c r="A47" s="48" t="s">
        <v>266</v>
      </c>
      <c r="B47" s="48" t="s">
        <v>661</v>
      </c>
      <c r="C47" s="48" t="s">
        <v>123</v>
      </c>
      <c r="D47" s="48">
        <v>127</v>
      </c>
      <c r="E47" s="48">
        <v>2378</v>
      </c>
      <c r="F47" s="49">
        <f t="shared" si="0"/>
        <v>4.8065601345668627</v>
      </c>
      <c r="G47" s="48">
        <v>8.5</v>
      </c>
      <c r="H47" s="49">
        <f>(Table1[[#This Row],[Points Per 90 Minutes]]/G47)</f>
        <v>0.56547766289021917</v>
      </c>
    </row>
    <row r="48" spans="1:8">
      <c r="A48" s="48" t="s">
        <v>198</v>
      </c>
      <c r="B48" s="48" t="s">
        <v>664</v>
      </c>
      <c r="C48" s="48" t="s">
        <v>668</v>
      </c>
      <c r="D48" s="48">
        <v>127</v>
      </c>
      <c r="E48" s="48">
        <v>3060</v>
      </c>
      <c r="F48" s="49">
        <f t="shared" si="0"/>
        <v>3.7352941176470589</v>
      </c>
      <c r="G48" s="48">
        <v>5</v>
      </c>
      <c r="H48" s="49">
        <f>(Table1[[#This Row],[Points Per 90 Minutes]]/G48)</f>
        <v>0.74705882352941178</v>
      </c>
    </row>
    <row r="49" spans="1:8">
      <c r="A49" s="48" t="s">
        <v>315</v>
      </c>
      <c r="B49" s="48" t="s">
        <v>660</v>
      </c>
      <c r="C49" s="48" t="s">
        <v>125</v>
      </c>
      <c r="D49" s="48">
        <v>126</v>
      </c>
      <c r="E49" s="48">
        <v>2021</v>
      </c>
      <c r="F49" s="49">
        <f t="shared" si="0"/>
        <v>5.6110836219693221</v>
      </c>
      <c r="G49" s="48">
        <v>8.5</v>
      </c>
      <c r="H49" s="49">
        <f>(Table1[[#This Row],[Points Per 90 Minutes]]/G49)</f>
        <v>0.66012748493756734</v>
      </c>
    </row>
    <row r="50" spans="1:8">
      <c r="A50" s="48" t="s">
        <v>261</v>
      </c>
      <c r="B50" s="48" t="s">
        <v>660</v>
      </c>
      <c r="C50" s="48" t="s">
        <v>671</v>
      </c>
      <c r="D50" s="48">
        <v>125</v>
      </c>
      <c r="E50" s="48">
        <v>2419</v>
      </c>
      <c r="F50" s="49">
        <f t="shared" si="0"/>
        <v>4.6506821000413394</v>
      </c>
      <c r="G50" s="48">
        <v>6</v>
      </c>
      <c r="H50" s="49">
        <f>(Table1[[#This Row],[Points Per 90 Minutes]]/G50)</f>
        <v>0.77511368334022324</v>
      </c>
    </row>
    <row r="51" spans="1:8">
      <c r="A51" s="48" t="s">
        <v>207</v>
      </c>
      <c r="B51" s="48" t="s">
        <v>664</v>
      </c>
      <c r="C51" s="48" t="s">
        <v>129</v>
      </c>
      <c r="D51" s="48">
        <v>124</v>
      </c>
      <c r="E51" s="48">
        <v>2970</v>
      </c>
      <c r="F51" s="49">
        <f t="shared" si="0"/>
        <v>3.7575757575757578</v>
      </c>
      <c r="G51" s="48">
        <v>5.5</v>
      </c>
      <c r="H51" s="49">
        <f>(Table1[[#This Row],[Points Per 90 Minutes]]/G51)</f>
        <v>0.6831955922865014</v>
      </c>
    </row>
    <row r="52" spans="1:8">
      <c r="A52" s="48" t="s">
        <v>249</v>
      </c>
      <c r="B52" s="48" t="s">
        <v>667</v>
      </c>
      <c r="C52" s="48" t="s">
        <v>136</v>
      </c>
      <c r="D52" s="48">
        <v>123</v>
      </c>
      <c r="E52" s="48">
        <v>2520</v>
      </c>
      <c r="F52" s="49">
        <f t="shared" si="0"/>
        <v>4.3928571428571432</v>
      </c>
      <c r="G52" s="48">
        <v>5</v>
      </c>
      <c r="H52" s="49">
        <f>(Table1[[#This Row],[Points Per 90 Minutes]]/G52)</f>
        <v>0.87857142857142867</v>
      </c>
    </row>
    <row r="53" spans="1:8">
      <c r="A53" s="48" t="s">
        <v>188</v>
      </c>
      <c r="B53" s="48" t="s">
        <v>664</v>
      </c>
      <c r="C53" s="48" t="s">
        <v>121</v>
      </c>
      <c r="D53" s="48">
        <v>121</v>
      </c>
      <c r="E53" s="48">
        <v>3150</v>
      </c>
      <c r="F53" s="49">
        <f t="shared" si="0"/>
        <v>3.4571428571428573</v>
      </c>
      <c r="G53" s="48">
        <v>5.5</v>
      </c>
      <c r="H53" s="49">
        <f>(Table1[[#This Row],[Points Per 90 Minutes]]/G53)</f>
        <v>0.62857142857142856</v>
      </c>
    </row>
    <row r="54" spans="1:8">
      <c r="A54" s="48" t="s">
        <v>220</v>
      </c>
      <c r="B54" s="48" t="s">
        <v>667</v>
      </c>
      <c r="C54" s="48" t="s">
        <v>125</v>
      </c>
      <c r="D54" s="48">
        <v>121</v>
      </c>
      <c r="E54" s="48">
        <v>2813</v>
      </c>
      <c r="F54" s="49">
        <f t="shared" si="0"/>
        <v>3.8713117667970138</v>
      </c>
      <c r="G54" s="48">
        <v>5.5</v>
      </c>
      <c r="H54" s="49">
        <f>(Table1[[#This Row],[Points Per 90 Minutes]]/G54)</f>
        <v>0.70387486669036614</v>
      </c>
    </row>
    <row r="55" spans="1:8">
      <c r="A55" s="48" t="s">
        <v>196</v>
      </c>
      <c r="B55" s="48" t="s">
        <v>667</v>
      </c>
      <c r="C55" s="48" t="s">
        <v>663</v>
      </c>
      <c r="D55" s="48">
        <v>121</v>
      </c>
      <c r="E55" s="48">
        <v>3063</v>
      </c>
      <c r="F55" s="49">
        <f t="shared" si="0"/>
        <v>3.5553379040156705</v>
      </c>
      <c r="G55" s="48">
        <v>5</v>
      </c>
      <c r="H55" s="49">
        <f>(Table1[[#This Row],[Points Per 90 Minutes]]/G55)</f>
        <v>0.71106758080313415</v>
      </c>
    </row>
    <row r="56" spans="1:8">
      <c r="A56" s="48" t="s">
        <v>280</v>
      </c>
      <c r="B56" s="48" t="s">
        <v>664</v>
      </c>
      <c r="C56" s="48" t="s">
        <v>121</v>
      </c>
      <c r="D56" s="48">
        <v>120</v>
      </c>
      <c r="E56" s="48">
        <v>2287</v>
      </c>
      <c r="F56" s="49">
        <f t="shared" si="0"/>
        <v>4.7223436816790549</v>
      </c>
      <c r="G56" s="48">
        <v>6</v>
      </c>
      <c r="H56" s="49">
        <f>(Table1[[#This Row],[Points Per 90 Minutes]]/G56)</f>
        <v>0.78705728027984245</v>
      </c>
    </row>
    <row r="57" spans="1:8">
      <c r="A57" s="48" t="s">
        <v>336</v>
      </c>
      <c r="B57" s="48" t="s">
        <v>661</v>
      </c>
      <c r="C57" s="48" t="s">
        <v>121</v>
      </c>
      <c r="D57" s="48">
        <v>120</v>
      </c>
      <c r="E57" s="48">
        <v>1861</v>
      </c>
      <c r="F57" s="49">
        <f t="shared" si="0"/>
        <v>5.8033315421816232</v>
      </c>
      <c r="G57" s="48">
        <v>9</v>
      </c>
      <c r="H57" s="49">
        <f>(Table1[[#This Row],[Points Per 90 Minutes]]/G57)</f>
        <v>0.64481461579795818</v>
      </c>
    </row>
    <row r="58" spans="1:8">
      <c r="A58" s="48" t="s">
        <v>287</v>
      </c>
      <c r="B58" s="48" t="s">
        <v>661</v>
      </c>
      <c r="C58" s="48" t="s">
        <v>670</v>
      </c>
      <c r="D58" s="48">
        <v>120</v>
      </c>
      <c r="E58" s="48">
        <v>2241</v>
      </c>
      <c r="F58" s="49">
        <f t="shared" si="0"/>
        <v>4.8192771084337345</v>
      </c>
      <c r="G58" s="48">
        <v>6</v>
      </c>
      <c r="H58" s="49">
        <f>(Table1[[#This Row],[Points Per 90 Minutes]]/G58)</f>
        <v>0.80321285140562237</v>
      </c>
    </row>
    <row r="59" spans="1:8">
      <c r="A59" s="48" t="s">
        <v>184</v>
      </c>
      <c r="B59" s="48" t="s">
        <v>664</v>
      </c>
      <c r="C59" s="48" t="s">
        <v>672</v>
      </c>
      <c r="D59" s="48">
        <v>118</v>
      </c>
      <c r="E59" s="48">
        <v>3251</v>
      </c>
      <c r="F59" s="49">
        <f t="shared" si="0"/>
        <v>3.266687173177484</v>
      </c>
      <c r="G59" s="48">
        <v>5</v>
      </c>
      <c r="H59" s="49">
        <f>(Table1[[#This Row],[Points Per 90 Minutes]]/G59)</f>
        <v>0.65333743463549676</v>
      </c>
    </row>
    <row r="60" spans="1:8">
      <c r="A60" s="48" t="s">
        <v>235</v>
      </c>
      <c r="B60" s="48" t="s">
        <v>667</v>
      </c>
      <c r="C60" s="48" t="s">
        <v>134</v>
      </c>
      <c r="D60" s="48">
        <v>118</v>
      </c>
      <c r="E60" s="48">
        <v>2623</v>
      </c>
      <c r="F60" s="49">
        <f t="shared" si="0"/>
        <v>4.0487990850171567</v>
      </c>
      <c r="G60" s="48">
        <v>5</v>
      </c>
      <c r="H60" s="49">
        <f>(Table1[[#This Row],[Points Per 90 Minutes]]/G60)</f>
        <v>0.80975981700343136</v>
      </c>
    </row>
    <row r="61" spans="1:8">
      <c r="A61" s="48" t="s">
        <v>165</v>
      </c>
      <c r="B61" s="48" t="s">
        <v>664</v>
      </c>
      <c r="C61" s="48" t="s">
        <v>663</v>
      </c>
      <c r="D61" s="48">
        <v>118</v>
      </c>
      <c r="E61" s="48">
        <v>3415</v>
      </c>
      <c r="F61" s="49">
        <f t="shared" si="0"/>
        <v>3.109809663250366</v>
      </c>
      <c r="G61" s="48">
        <v>5.5</v>
      </c>
      <c r="H61" s="49">
        <f>(Table1[[#This Row],[Points Per 90 Minutes]]/G61)</f>
        <v>0.56541993877279384</v>
      </c>
    </row>
    <row r="62" spans="1:8">
      <c r="A62" s="48" t="s">
        <v>174</v>
      </c>
      <c r="B62" s="48" t="s">
        <v>664</v>
      </c>
      <c r="C62" s="48" t="s">
        <v>666</v>
      </c>
      <c r="D62" s="48">
        <v>118</v>
      </c>
      <c r="E62" s="48">
        <v>3330</v>
      </c>
      <c r="F62" s="49">
        <f t="shared" si="0"/>
        <v>3.189189189189189</v>
      </c>
      <c r="G62" s="48">
        <v>5</v>
      </c>
      <c r="H62" s="49">
        <f>(Table1[[#This Row],[Points Per 90 Minutes]]/G62)</f>
        <v>0.63783783783783776</v>
      </c>
    </row>
    <row r="63" spans="1:8">
      <c r="A63" s="48" t="s">
        <v>310</v>
      </c>
      <c r="B63" s="48" t="s">
        <v>660</v>
      </c>
      <c r="C63" s="48" t="s">
        <v>134</v>
      </c>
      <c r="D63" s="48">
        <v>117</v>
      </c>
      <c r="E63" s="48">
        <v>2057</v>
      </c>
      <c r="F63" s="49">
        <f t="shared" si="0"/>
        <v>5.1191054934370444</v>
      </c>
      <c r="G63" s="48">
        <v>7</v>
      </c>
      <c r="H63" s="49">
        <f>(Table1[[#This Row],[Points Per 90 Minutes]]/G63)</f>
        <v>0.73130078477672067</v>
      </c>
    </row>
    <row r="64" spans="1:8">
      <c r="A64" s="48" t="s">
        <v>317</v>
      </c>
      <c r="B64" s="48" t="s">
        <v>660</v>
      </c>
      <c r="C64" s="48" t="s">
        <v>121</v>
      </c>
      <c r="D64" s="48">
        <v>116</v>
      </c>
      <c r="E64" s="48">
        <v>2007</v>
      </c>
      <c r="F64" s="49">
        <f t="shared" si="0"/>
        <v>5.2017937219730941</v>
      </c>
      <c r="G64" s="48">
        <v>8.5</v>
      </c>
      <c r="H64" s="49">
        <f>(Table1[[#This Row],[Points Per 90 Minutes]]/G64)</f>
        <v>0.61197573199683464</v>
      </c>
    </row>
    <row r="65" spans="1:8">
      <c r="A65" s="48" t="s">
        <v>187</v>
      </c>
      <c r="B65" s="48" t="s">
        <v>667</v>
      </c>
      <c r="C65" s="48" t="s">
        <v>126</v>
      </c>
      <c r="D65" s="48">
        <v>115</v>
      </c>
      <c r="E65" s="48">
        <v>3204</v>
      </c>
      <c r="F65" s="49">
        <f t="shared" si="0"/>
        <v>3.2303370786516852</v>
      </c>
      <c r="G65" s="48">
        <v>4.5</v>
      </c>
      <c r="H65" s="49">
        <f>(Table1[[#This Row],[Points Per 90 Minutes]]/G65)</f>
        <v>0.71785268414481895</v>
      </c>
    </row>
    <row r="66" spans="1:8">
      <c r="A66" s="48" t="s">
        <v>193</v>
      </c>
      <c r="B66" s="48" t="s">
        <v>660</v>
      </c>
      <c r="C66" s="48" t="s">
        <v>672</v>
      </c>
      <c r="D66" s="48">
        <v>114</v>
      </c>
      <c r="E66" s="48">
        <v>3128</v>
      </c>
      <c r="F66" s="49">
        <f t="shared" ref="F66:F129" si="1">D66/E66*90</f>
        <v>3.2800511508951411</v>
      </c>
      <c r="G66" s="48">
        <v>5.5</v>
      </c>
      <c r="H66" s="49">
        <f>(Table1[[#This Row],[Points Per 90 Minutes]]/G66)</f>
        <v>0.59637293652638934</v>
      </c>
    </row>
    <row r="67" spans="1:8">
      <c r="A67" s="48" t="s">
        <v>197</v>
      </c>
      <c r="B67" s="48" t="s">
        <v>667</v>
      </c>
      <c r="C67" s="48" t="s">
        <v>123</v>
      </c>
      <c r="D67" s="48">
        <v>112</v>
      </c>
      <c r="E67" s="48">
        <v>3060</v>
      </c>
      <c r="F67" s="49">
        <f t="shared" si="1"/>
        <v>3.2941176470588238</v>
      </c>
      <c r="G67" s="48">
        <v>4.5</v>
      </c>
      <c r="H67" s="49">
        <f>(Table1[[#This Row],[Points Per 90 Minutes]]/G67)</f>
        <v>0.73202614379084974</v>
      </c>
    </row>
    <row r="68" spans="1:8">
      <c r="A68" s="48" t="s">
        <v>179</v>
      </c>
      <c r="B68" s="48" t="s">
        <v>664</v>
      </c>
      <c r="C68" s="48" t="s">
        <v>670</v>
      </c>
      <c r="D68" s="48">
        <v>112</v>
      </c>
      <c r="E68" s="48">
        <v>3285</v>
      </c>
      <c r="F68" s="49">
        <f t="shared" si="1"/>
        <v>3.0684931506849313</v>
      </c>
      <c r="G68" s="48">
        <v>4.5</v>
      </c>
      <c r="H68" s="49">
        <f>(Table1[[#This Row],[Points Per 90 Minutes]]/G68)</f>
        <v>0.68188736681887363</v>
      </c>
    </row>
    <row r="69" spans="1:8">
      <c r="A69" s="48" t="s">
        <v>168</v>
      </c>
      <c r="B69" s="48" t="s">
        <v>660</v>
      </c>
      <c r="C69" s="48" t="s">
        <v>671</v>
      </c>
      <c r="D69" s="48">
        <v>111</v>
      </c>
      <c r="E69" s="48">
        <v>3375</v>
      </c>
      <c r="F69" s="49">
        <f t="shared" si="1"/>
        <v>2.9600000000000004</v>
      </c>
      <c r="G69" s="48">
        <v>5</v>
      </c>
      <c r="H69" s="49">
        <f>(Table1[[#This Row],[Points Per 90 Minutes]]/G69)</f>
        <v>0.59200000000000008</v>
      </c>
    </row>
    <row r="70" spans="1:8">
      <c r="A70" s="48" t="s">
        <v>204</v>
      </c>
      <c r="B70" s="48" t="s">
        <v>664</v>
      </c>
      <c r="C70" s="48" t="s">
        <v>666</v>
      </c>
      <c r="D70" s="48">
        <v>109</v>
      </c>
      <c r="E70" s="48">
        <v>2998</v>
      </c>
      <c r="F70" s="49">
        <f t="shared" si="1"/>
        <v>3.2721814543028684</v>
      </c>
      <c r="G70" s="48">
        <v>5</v>
      </c>
      <c r="H70" s="49">
        <f>(Table1[[#This Row],[Points Per 90 Minutes]]/G70)</f>
        <v>0.65443629086057364</v>
      </c>
    </row>
    <row r="71" spans="1:8">
      <c r="A71" s="48" t="s">
        <v>359</v>
      </c>
      <c r="B71" s="48" t="s">
        <v>661</v>
      </c>
      <c r="C71" s="48" t="s">
        <v>662</v>
      </c>
      <c r="D71" s="48">
        <v>108</v>
      </c>
      <c r="E71" s="48">
        <v>1598</v>
      </c>
      <c r="F71" s="49">
        <f t="shared" si="1"/>
        <v>6.0826032540675845</v>
      </c>
      <c r="G71" s="48">
        <v>8.5</v>
      </c>
      <c r="H71" s="49">
        <f>(Table1[[#This Row],[Points Per 90 Minutes]]/G71)</f>
        <v>0.71560038283148053</v>
      </c>
    </row>
    <row r="72" spans="1:8">
      <c r="A72" s="48" t="s">
        <v>347</v>
      </c>
      <c r="B72" s="48" t="s">
        <v>660</v>
      </c>
      <c r="C72" s="48" t="s">
        <v>129</v>
      </c>
      <c r="D72" s="48">
        <v>107</v>
      </c>
      <c r="E72" s="48">
        <v>1749</v>
      </c>
      <c r="F72" s="49">
        <f t="shared" si="1"/>
        <v>5.5060034305317318</v>
      </c>
      <c r="G72" s="48">
        <v>7</v>
      </c>
      <c r="H72" s="49">
        <f>(Table1[[#This Row],[Points Per 90 Minutes]]/G72)</f>
        <v>0.78657191864739029</v>
      </c>
    </row>
    <row r="73" spans="1:8">
      <c r="A73" s="48" t="s">
        <v>357</v>
      </c>
      <c r="B73" s="48" t="s">
        <v>660</v>
      </c>
      <c r="C73" s="48" t="s">
        <v>669</v>
      </c>
      <c r="D73" s="48">
        <v>107</v>
      </c>
      <c r="E73" s="48">
        <v>1641</v>
      </c>
      <c r="F73" s="49">
        <f t="shared" si="1"/>
        <v>5.8683729433272402</v>
      </c>
      <c r="G73" s="48">
        <v>8.5</v>
      </c>
      <c r="H73" s="49">
        <f>(Table1[[#This Row],[Points Per 90 Minutes]]/G73)</f>
        <v>0.69039681686202825</v>
      </c>
    </row>
    <row r="74" spans="1:8">
      <c r="A74" s="48" t="s">
        <v>182</v>
      </c>
      <c r="B74" s="48" t="s">
        <v>664</v>
      </c>
      <c r="C74" s="48" t="s">
        <v>136</v>
      </c>
      <c r="D74" s="48">
        <v>107</v>
      </c>
      <c r="E74" s="48">
        <v>3270</v>
      </c>
      <c r="F74" s="49">
        <f t="shared" si="1"/>
        <v>2.9449541284403669</v>
      </c>
      <c r="G74" s="48">
        <v>4.5</v>
      </c>
      <c r="H74" s="49">
        <f>(Table1[[#This Row],[Points Per 90 Minutes]]/G74)</f>
        <v>0.65443425076452599</v>
      </c>
    </row>
    <row r="75" spans="1:8">
      <c r="A75" s="48" t="s">
        <v>240</v>
      </c>
      <c r="B75" s="48" t="s">
        <v>664</v>
      </c>
      <c r="C75" s="48" t="s">
        <v>662</v>
      </c>
      <c r="D75" s="48">
        <v>106</v>
      </c>
      <c r="E75" s="48">
        <v>2585</v>
      </c>
      <c r="F75" s="49">
        <f t="shared" si="1"/>
        <v>3.6905222437137333</v>
      </c>
      <c r="G75" s="48">
        <v>6</v>
      </c>
      <c r="H75" s="49">
        <f>(Table1[[#This Row],[Points Per 90 Minutes]]/G75)</f>
        <v>0.61508704061895558</v>
      </c>
    </row>
    <row r="76" spans="1:8">
      <c r="A76" s="48" t="s">
        <v>190</v>
      </c>
      <c r="B76" s="48" t="s">
        <v>667</v>
      </c>
      <c r="C76" s="48" t="s">
        <v>671</v>
      </c>
      <c r="D76" s="48">
        <v>106</v>
      </c>
      <c r="E76" s="48">
        <v>3150</v>
      </c>
      <c r="F76" s="49">
        <f t="shared" si="1"/>
        <v>3.0285714285714289</v>
      </c>
      <c r="G76" s="48">
        <v>5</v>
      </c>
      <c r="H76" s="49">
        <f>(Table1[[#This Row],[Points Per 90 Minutes]]/G76)</f>
        <v>0.60571428571428576</v>
      </c>
    </row>
    <row r="77" spans="1:8">
      <c r="A77" s="48" t="s">
        <v>210</v>
      </c>
      <c r="B77" s="48" t="s">
        <v>664</v>
      </c>
      <c r="C77" s="48" t="s">
        <v>126</v>
      </c>
      <c r="D77" s="48">
        <v>105</v>
      </c>
      <c r="E77" s="48">
        <v>2920</v>
      </c>
      <c r="F77" s="49">
        <f t="shared" si="1"/>
        <v>3.2363013698630136</v>
      </c>
      <c r="G77" s="48">
        <v>5</v>
      </c>
      <c r="H77" s="49">
        <f>(Table1[[#This Row],[Points Per 90 Minutes]]/G77)</f>
        <v>0.64726027397260277</v>
      </c>
    </row>
    <row r="78" spans="1:8">
      <c r="A78" s="48" t="s">
        <v>298</v>
      </c>
      <c r="B78" s="48" t="s">
        <v>661</v>
      </c>
      <c r="C78" s="48" t="s">
        <v>669</v>
      </c>
      <c r="D78" s="48">
        <v>105</v>
      </c>
      <c r="E78" s="48">
        <v>2108</v>
      </c>
      <c r="F78" s="49">
        <f t="shared" si="1"/>
        <v>4.4829222011385204</v>
      </c>
      <c r="G78" s="48">
        <v>9.5</v>
      </c>
      <c r="H78" s="49">
        <f>(Table1[[#This Row],[Points Per 90 Minutes]]/G78)</f>
        <v>0.47188654748826531</v>
      </c>
    </row>
    <row r="79" spans="1:8">
      <c r="A79" s="48" t="s">
        <v>200</v>
      </c>
      <c r="B79" s="48" t="s">
        <v>660</v>
      </c>
      <c r="C79" s="48" t="s">
        <v>136</v>
      </c>
      <c r="D79" s="48">
        <v>105</v>
      </c>
      <c r="E79" s="48">
        <v>3052</v>
      </c>
      <c r="F79" s="49">
        <f t="shared" si="1"/>
        <v>3.096330275229358</v>
      </c>
      <c r="G79" s="48">
        <v>5.5</v>
      </c>
      <c r="H79" s="49">
        <f>(Table1[[#This Row],[Points Per 90 Minutes]]/G79)</f>
        <v>0.56296914095079231</v>
      </c>
    </row>
    <row r="80" spans="1:8">
      <c r="A80" s="48" t="s">
        <v>263</v>
      </c>
      <c r="B80" s="48" t="s">
        <v>660</v>
      </c>
      <c r="C80" s="48" t="s">
        <v>125</v>
      </c>
      <c r="D80" s="48">
        <v>104</v>
      </c>
      <c r="E80" s="48">
        <v>2405</v>
      </c>
      <c r="F80" s="49">
        <f t="shared" si="1"/>
        <v>3.8918918918918921</v>
      </c>
      <c r="G80" s="48">
        <v>7</v>
      </c>
      <c r="H80" s="49">
        <f>(Table1[[#This Row],[Points Per 90 Minutes]]/G80)</f>
        <v>0.55598455598455598</v>
      </c>
    </row>
    <row r="81" spans="1:8">
      <c r="A81" s="48" t="s">
        <v>337</v>
      </c>
      <c r="B81" s="48" t="s">
        <v>660</v>
      </c>
      <c r="C81" s="48" t="s">
        <v>121</v>
      </c>
      <c r="D81" s="48">
        <v>103</v>
      </c>
      <c r="E81" s="48">
        <v>1857</v>
      </c>
      <c r="F81" s="49">
        <f t="shared" si="1"/>
        <v>4.9919224555735058</v>
      </c>
      <c r="G81" s="48">
        <v>8.5</v>
      </c>
      <c r="H81" s="49">
        <f>(Table1[[#This Row],[Points Per 90 Minutes]]/G81)</f>
        <v>0.58728499477335361</v>
      </c>
    </row>
    <row r="82" spans="1:8">
      <c r="A82" s="48" t="s">
        <v>202</v>
      </c>
      <c r="B82" s="48" t="s">
        <v>660</v>
      </c>
      <c r="C82" s="48" t="s">
        <v>672</v>
      </c>
      <c r="D82" s="48">
        <v>103</v>
      </c>
      <c r="E82" s="48">
        <v>3029</v>
      </c>
      <c r="F82" s="49">
        <f t="shared" si="1"/>
        <v>3.0604159788709144</v>
      </c>
      <c r="G82" s="48">
        <v>6</v>
      </c>
      <c r="H82" s="49">
        <f>(Table1[[#This Row],[Points Per 90 Minutes]]/G82)</f>
        <v>0.51006932981181907</v>
      </c>
    </row>
    <row r="83" spans="1:8">
      <c r="A83" s="48" t="s">
        <v>268</v>
      </c>
      <c r="B83" s="48" t="s">
        <v>664</v>
      </c>
      <c r="C83" s="48" t="s">
        <v>663</v>
      </c>
      <c r="D83" s="48">
        <v>103</v>
      </c>
      <c r="E83" s="48">
        <v>2367</v>
      </c>
      <c r="F83" s="49">
        <f t="shared" si="1"/>
        <v>3.9163498098859315</v>
      </c>
      <c r="G83" s="48">
        <v>5.5</v>
      </c>
      <c r="H83" s="49">
        <f>(Table1[[#This Row],[Points Per 90 Minutes]]/G83)</f>
        <v>0.7120636017974421</v>
      </c>
    </row>
    <row r="84" spans="1:8">
      <c r="A84" s="48" t="s">
        <v>301</v>
      </c>
      <c r="B84" s="48" t="s">
        <v>660</v>
      </c>
      <c r="C84" s="48" t="s">
        <v>670</v>
      </c>
      <c r="D84" s="48">
        <v>102</v>
      </c>
      <c r="E84" s="48">
        <v>2079</v>
      </c>
      <c r="F84" s="49">
        <f t="shared" si="1"/>
        <v>4.4155844155844157</v>
      </c>
      <c r="G84" s="48">
        <v>5.5</v>
      </c>
      <c r="H84" s="49">
        <f>(Table1[[#This Row],[Points Per 90 Minutes]]/G84)</f>
        <v>0.80283353010625735</v>
      </c>
    </row>
    <row r="85" spans="1:8">
      <c r="A85" s="48" t="s">
        <v>285</v>
      </c>
      <c r="B85" s="48" t="s">
        <v>660</v>
      </c>
      <c r="C85" s="48" t="s">
        <v>662</v>
      </c>
      <c r="D85" s="48">
        <v>101</v>
      </c>
      <c r="E85" s="48">
        <v>2254</v>
      </c>
      <c r="F85" s="49">
        <f t="shared" si="1"/>
        <v>4.0328305235137538</v>
      </c>
      <c r="G85" s="48">
        <v>6.5</v>
      </c>
      <c r="H85" s="49">
        <f>(Table1[[#This Row],[Points Per 90 Minutes]]/G85)</f>
        <v>0.62043546515596215</v>
      </c>
    </row>
    <row r="86" spans="1:8">
      <c r="A86" s="48" t="s">
        <v>352</v>
      </c>
      <c r="B86" s="48" t="s">
        <v>661</v>
      </c>
      <c r="C86" s="48" t="s">
        <v>671</v>
      </c>
      <c r="D86" s="48">
        <v>101</v>
      </c>
      <c r="E86" s="48">
        <v>1685</v>
      </c>
      <c r="F86" s="49">
        <f t="shared" si="1"/>
        <v>5.3946587537091988</v>
      </c>
      <c r="G86" s="48">
        <v>6</v>
      </c>
      <c r="H86" s="49">
        <f>(Table1[[#This Row],[Points Per 90 Minutes]]/G86)</f>
        <v>0.89910979228486643</v>
      </c>
    </row>
    <row r="87" spans="1:8">
      <c r="A87" s="48" t="s">
        <v>226</v>
      </c>
      <c r="B87" s="48" t="s">
        <v>667</v>
      </c>
      <c r="C87" s="48" t="s">
        <v>672</v>
      </c>
      <c r="D87" s="48">
        <v>99</v>
      </c>
      <c r="E87" s="48">
        <v>2700</v>
      </c>
      <c r="F87" s="49">
        <f t="shared" si="1"/>
        <v>3.3</v>
      </c>
      <c r="G87" s="48">
        <v>4.5</v>
      </c>
      <c r="H87" s="49">
        <f>(Table1[[#This Row],[Points Per 90 Minutes]]/G87)</f>
        <v>0.73333333333333328</v>
      </c>
    </row>
    <row r="88" spans="1:8">
      <c r="A88" s="48" t="s">
        <v>255</v>
      </c>
      <c r="B88" s="48" t="s">
        <v>660</v>
      </c>
      <c r="C88" s="48" t="s">
        <v>666</v>
      </c>
      <c r="D88" s="48">
        <v>99</v>
      </c>
      <c r="E88" s="48">
        <v>2449</v>
      </c>
      <c r="F88" s="49">
        <f t="shared" si="1"/>
        <v>3.6382196815026546</v>
      </c>
      <c r="G88" s="48">
        <v>5.5</v>
      </c>
      <c r="H88" s="49">
        <f>(Table1[[#This Row],[Points Per 90 Minutes]]/G88)</f>
        <v>0.6614944875459372</v>
      </c>
    </row>
    <row r="89" spans="1:8">
      <c r="A89" s="48" t="s">
        <v>239</v>
      </c>
      <c r="B89" s="48" t="s">
        <v>664</v>
      </c>
      <c r="C89" s="48" t="s">
        <v>668</v>
      </c>
      <c r="D89" s="48">
        <v>99</v>
      </c>
      <c r="E89" s="48">
        <v>2590</v>
      </c>
      <c r="F89" s="49">
        <f t="shared" si="1"/>
        <v>3.4401544401544397</v>
      </c>
      <c r="G89" s="48">
        <v>5</v>
      </c>
      <c r="H89" s="49">
        <f>(Table1[[#This Row],[Points Per 90 Minutes]]/G89)</f>
        <v>0.68803088803088797</v>
      </c>
    </row>
    <row r="90" spans="1:8">
      <c r="A90" s="48" t="s">
        <v>230</v>
      </c>
      <c r="B90" s="48" t="s">
        <v>660</v>
      </c>
      <c r="C90" s="48" t="s">
        <v>668</v>
      </c>
      <c r="D90" s="48">
        <v>99</v>
      </c>
      <c r="E90" s="48">
        <v>2678</v>
      </c>
      <c r="F90" s="49">
        <f t="shared" si="1"/>
        <v>3.3271097834204633</v>
      </c>
      <c r="G90" s="48">
        <v>5.5</v>
      </c>
      <c r="H90" s="49">
        <f>(Table1[[#This Row],[Points Per 90 Minutes]]/G90)</f>
        <v>0.6049290515309933</v>
      </c>
    </row>
    <row r="91" spans="1:8">
      <c r="A91" s="48" t="s">
        <v>308</v>
      </c>
      <c r="B91" s="48" t="s">
        <v>661</v>
      </c>
      <c r="C91" s="48" t="s">
        <v>127</v>
      </c>
      <c r="D91" s="48">
        <v>98</v>
      </c>
      <c r="E91" s="48">
        <v>2057</v>
      </c>
      <c r="F91" s="49">
        <f t="shared" si="1"/>
        <v>4.2877977637335922</v>
      </c>
      <c r="G91" s="48">
        <v>5.5</v>
      </c>
      <c r="H91" s="49">
        <f>(Table1[[#This Row],[Points Per 90 Minutes]]/G91)</f>
        <v>0.77959959340610763</v>
      </c>
    </row>
    <row r="92" spans="1:8">
      <c r="A92" s="48" t="s">
        <v>248</v>
      </c>
      <c r="B92" s="48" t="s">
        <v>664</v>
      </c>
      <c r="C92" s="48" t="s">
        <v>670</v>
      </c>
      <c r="D92" s="48">
        <v>98</v>
      </c>
      <c r="E92" s="48">
        <v>2531</v>
      </c>
      <c r="F92" s="49">
        <f t="shared" si="1"/>
        <v>3.4847886210983803</v>
      </c>
      <c r="G92" s="48">
        <v>5</v>
      </c>
      <c r="H92" s="49">
        <f>(Table1[[#This Row],[Points Per 90 Minutes]]/G92)</f>
        <v>0.69695772421967606</v>
      </c>
    </row>
    <row r="93" spans="1:8">
      <c r="A93" s="48" t="s">
        <v>334</v>
      </c>
      <c r="B93" s="48" t="s">
        <v>660</v>
      </c>
      <c r="C93" s="48" t="s">
        <v>669</v>
      </c>
      <c r="D93" s="48">
        <v>98</v>
      </c>
      <c r="E93" s="48">
        <v>1870</v>
      </c>
      <c r="F93" s="49">
        <f t="shared" si="1"/>
        <v>4.7165775401069521</v>
      </c>
      <c r="G93" s="48">
        <v>7</v>
      </c>
      <c r="H93" s="49">
        <f>(Table1[[#This Row],[Points Per 90 Minutes]]/G93)</f>
        <v>0.6737967914438503</v>
      </c>
    </row>
    <row r="94" spans="1:8">
      <c r="A94" s="48" t="s">
        <v>267</v>
      </c>
      <c r="B94" s="48" t="s">
        <v>661</v>
      </c>
      <c r="C94" s="48" t="s">
        <v>672</v>
      </c>
      <c r="D94" s="48">
        <v>98</v>
      </c>
      <c r="E94" s="48">
        <v>2372</v>
      </c>
      <c r="F94" s="49">
        <f t="shared" si="1"/>
        <v>3.7183811129848228</v>
      </c>
      <c r="G94" s="48">
        <v>5.5</v>
      </c>
      <c r="H94" s="49">
        <f>(Table1[[#This Row],[Points Per 90 Minutes]]/G94)</f>
        <v>0.67606929326996779</v>
      </c>
    </row>
    <row r="95" spans="1:8">
      <c r="A95" s="48" t="s">
        <v>302</v>
      </c>
      <c r="B95" s="48" t="s">
        <v>660</v>
      </c>
      <c r="C95" s="48" t="s">
        <v>136</v>
      </c>
      <c r="D95" s="48">
        <v>98</v>
      </c>
      <c r="E95" s="48">
        <v>2079</v>
      </c>
      <c r="F95" s="49">
        <f t="shared" si="1"/>
        <v>4.2424242424242422</v>
      </c>
      <c r="G95" s="48">
        <v>6</v>
      </c>
      <c r="H95" s="49">
        <f>(Table1[[#This Row],[Points Per 90 Minutes]]/G95)</f>
        <v>0.70707070707070707</v>
      </c>
    </row>
    <row r="96" spans="1:8">
      <c r="A96" s="48" t="s">
        <v>252</v>
      </c>
      <c r="B96" s="48" t="s">
        <v>667</v>
      </c>
      <c r="C96" s="48" t="s">
        <v>668</v>
      </c>
      <c r="D96" s="48">
        <v>98</v>
      </c>
      <c r="E96" s="48">
        <v>2485</v>
      </c>
      <c r="F96" s="49">
        <f t="shared" si="1"/>
        <v>3.5492957746478875</v>
      </c>
      <c r="G96" s="48">
        <v>5</v>
      </c>
      <c r="H96" s="49">
        <f>(Table1[[#This Row],[Points Per 90 Minutes]]/G96)</f>
        <v>0.70985915492957752</v>
      </c>
    </row>
    <row r="97" spans="1:8">
      <c r="A97" s="48" t="s">
        <v>232</v>
      </c>
      <c r="B97" s="48" t="s">
        <v>660</v>
      </c>
      <c r="C97" s="48" t="s">
        <v>665</v>
      </c>
      <c r="D97" s="48">
        <v>98</v>
      </c>
      <c r="E97" s="48">
        <v>2657</v>
      </c>
      <c r="F97" s="49">
        <f t="shared" si="1"/>
        <v>3.3195333082423781</v>
      </c>
      <c r="G97" s="48">
        <v>5.5</v>
      </c>
      <c r="H97" s="49">
        <f>(Table1[[#This Row],[Points Per 90 Minutes]]/G97)</f>
        <v>0.60355151058952328</v>
      </c>
    </row>
    <row r="98" spans="1:8">
      <c r="A98" s="48" t="s">
        <v>346</v>
      </c>
      <c r="B98" s="48" t="s">
        <v>661</v>
      </c>
      <c r="C98" s="48" t="s">
        <v>665</v>
      </c>
      <c r="D98" s="48">
        <v>98</v>
      </c>
      <c r="E98" s="48">
        <v>1755</v>
      </c>
      <c r="F98" s="49">
        <f t="shared" si="1"/>
        <v>5.0256410256410255</v>
      </c>
      <c r="G98" s="48">
        <v>6.5</v>
      </c>
      <c r="H98" s="49">
        <f>(Table1[[#This Row],[Points Per 90 Minutes]]/G98)</f>
        <v>0.77317554240631159</v>
      </c>
    </row>
    <row r="99" spans="1:8">
      <c r="A99" s="48" t="s">
        <v>402</v>
      </c>
      <c r="B99" s="48" t="s">
        <v>661</v>
      </c>
      <c r="C99" s="48" t="s">
        <v>672</v>
      </c>
      <c r="D99" s="48">
        <v>97</v>
      </c>
      <c r="E99" s="48">
        <v>1158</v>
      </c>
      <c r="F99" s="49">
        <f t="shared" si="1"/>
        <v>7.5388601036269431</v>
      </c>
      <c r="G99" s="48">
        <v>6.5</v>
      </c>
      <c r="H99" s="49">
        <f>(Table1[[#This Row],[Points Per 90 Minutes]]/G99)</f>
        <v>1.159824631327222</v>
      </c>
    </row>
    <row r="100" spans="1:8">
      <c r="A100" s="48" t="s">
        <v>366</v>
      </c>
      <c r="B100" s="48" t="s">
        <v>660</v>
      </c>
      <c r="C100" s="48" t="s">
        <v>671</v>
      </c>
      <c r="D100" s="48">
        <v>97</v>
      </c>
      <c r="E100" s="48">
        <v>1511</v>
      </c>
      <c r="F100" s="49">
        <f t="shared" si="1"/>
        <v>5.7776307081403049</v>
      </c>
      <c r="G100" s="48">
        <v>6</v>
      </c>
      <c r="H100" s="49">
        <f>(Table1[[#This Row],[Points Per 90 Minutes]]/G100)</f>
        <v>0.96293845135671752</v>
      </c>
    </row>
    <row r="101" spans="1:8">
      <c r="A101" s="48" t="s">
        <v>289</v>
      </c>
      <c r="B101" s="48" t="s">
        <v>664</v>
      </c>
      <c r="C101" s="48" t="s">
        <v>662</v>
      </c>
      <c r="D101" s="48">
        <v>95</v>
      </c>
      <c r="E101" s="48">
        <v>2188</v>
      </c>
      <c r="F101" s="49">
        <f t="shared" si="1"/>
        <v>3.907678244972578</v>
      </c>
      <c r="G101" s="48">
        <v>5.5</v>
      </c>
      <c r="H101" s="49">
        <f>(Table1[[#This Row],[Points Per 90 Minutes]]/G101)</f>
        <v>0.71048695363137782</v>
      </c>
    </row>
    <row r="102" spans="1:8">
      <c r="A102" s="48" t="s">
        <v>281</v>
      </c>
      <c r="B102" s="48" t="s">
        <v>660</v>
      </c>
      <c r="C102" s="48" t="s">
        <v>662</v>
      </c>
      <c r="D102" s="48">
        <v>95</v>
      </c>
      <c r="E102" s="48">
        <v>2267</v>
      </c>
      <c r="F102" s="49">
        <f t="shared" si="1"/>
        <v>3.7715041905602114</v>
      </c>
      <c r="G102" s="48">
        <v>6</v>
      </c>
      <c r="H102" s="49">
        <f>(Table1[[#This Row],[Points Per 90 Minutes]]/G102)</f>
        <v>0.62858403176003519</v>
      </c>
    </row>
    <row r="103" spans="1:8">
      <c r="A103" s="48" t="s">
        <v>236</v>
      </c>
      <c r="B103" s="48" t="s">
        <v>664</v>
      </c>
      <c r="C103" s="48" t="s">
        <v>136</v>
      </c>
      <c r="D103" s="48">
        <v>95</v>
      </c>
      <c r="E103" s="48">
        <v>2620</v>
      </c>
      <c r="F103" s="49">
        <f t="shared" si="1"/>
        <v>3.2633587786259541</v>
      </c>
      <c r="G103" s="48">
        <v>4.5</v>
      </c>
      <c r="H103" s="49">
        <f>(Table1[[#This Row],[Points Per 90 Minutes]]/G103)</f>
        <v>0.72519083969465647</v>
      </c>
    </row>
    <row r="104" spans="1:8">
      <c r="A104" s="48" t="s">
        <v>246</v>
      </c>
      <c r="B104" s="48" t="s">
        <v>660</v>
      </c>
      <c r="C104" s="48" t="s">
        <v>668</v>
      </c>
      <c r="D104" s="48">
        <v>95</v>
      </c>
      <c r="E104" s="48">
        <v>2553</v>
      </c>
      <c r="F104" s="49">
        <f t="shared" si="1"/>
        <v>3.3490011750881319</v>
      </c>
      <c r="G104" s="48">
        <v>5</v>
      </c>
      <c r="H104" s="49">
        <f>(Table1[[#This Row],[Points Per 90 Minutes]]/G104)</f>
        <v>0.66980023501762642</v>
      </c>
    </row>
    <row r="105" spans="1:8">
      <c r="A105" s="48" t="s">
        <v>231</v>
      </c>
      <c r="B105" s="48" t="s">
        <v>664</v>
      </c>
      <c r="C105" s="48" t="s">
        <v>121</v>
      </c>
      <c r="D105" s="48">
        <v>94</v>
      </c>
      <c r="E105" s="48">
        <v>2669</v>
      </c>
      <c r="F105" s="49">
        <f t="shared" si="1"/>
        <v>3.1697264893218438</v>
      </c>
      <c r="G105" s="48">
        <v>5</v>
      </c>
      <c r="H105" s="49">
        <f>(Table1[[#This Row],[Points Per 90 Minutes]]/G105)</f>
        <v>0.63394529786436871</v>
      </c>
    </row>
    <row r="106" spans="1:8">
      <c r="A106" s="48" t="s">
        <v>284</v>
      </c>
      <c r="B106" s="48" t="s">
        <v>664</v>
      </c>
      <c r="C106" s="48" t="s">
        <v>129</v>
      </c>
      <c r="D106" s="48">
        <v>94</v>
      </c>
      <c r="E106" s="48">
        <v>2254</v>
      </c>
      <c r="F106" s="49">
        <f t="shared" si="1"/>
        <v>3.7533274179236908</v>
      </c>
      <c r="G106" s="48">
        <v>5</v>
      </c>
      <c r="H106" s="49">
        <f>(Table1[[#This Row],[Points Per 90 Minutes]]/G106)</f>
        <v>0.75066548358473817</v>
      </c>
    </row>
    <row r="107" spans="1:8">
      <c r="A107" s="48" t="s">
        <v>242</v>
      </c>
      <c r="B107" s="48" t="s">
        <v>661</v>
      </c>
      <c r="C107" s="48" t="s">
        <v>665</v>
      </c>
      <c r="D107" s="48">
        <v>94</v>
      </c>
      <c r="E107" s="48">
        <v>2101</v>
      </c>
      <c r="F107" s="49">
        <f t="shared" si="1"/>
        <v>4.026653974297953</v>
      </c>
      <c r="G107" s="48">
        <v>6</v>
      </c>
      <c r="H107" s="49">
        <f>(Table1[[#This Row],[Points Per 90 Minutes]]/G107)</f>
        <v>0.67110899571632554</v>
      </c>
    </row>
    <row r="108" spans="1:8">
      <c r="A108" s="48" t="s">
        <v>227</v>
      </c>
      <c r="B108" s="48" t="s">
        <v>661</v>
      </c>
      <c r="C108" s="48" t="s">
        <v>123</v>
      </c>
      <c r="D108" s="48">
        <v>93</v>
      </c>
      <c r="E108" s="48">
        <v>2693</v>
      </c>
      <c r="F108" s="49">
        <f t="shared" si="1"/>
        <v>3.1080579279613816</v>
      </c>
      <c r="G108" s="48">
        <v>5</v>
      </c>
      <c r="H108" s="49">
        <f>(Table1[[#This Row],[Points Per 90 Minutes]]/G108)</f>
        <v>0.62161158559227636</v>
      </c>
    </row>
    <row r="109" spans="1:8">
      <c r="A109" s="48" t="s">
        <v>342</v>
      </c>
      <c r="B109" s="48" t="s">
        <v>660</v>
      </c>
      <c r="C109" s="48" t="s">
        <v>129</v>
      </c>
      <c r="D109" s="48">
        <v>93</v>
      </c>
      <c r="E109" s="48">
        <v>1779</v>
      </c>
      <c r="F109" s="49">
        <f t="shared" si="1"/>
        <v>4.704890387858347</v>
      </c>
      <c r="G109" s="48">
        <v>7.5</v>
      </c>
      <c r="H109" s="49">
        <f>(Table1[[#This Row],[Points Per 90 Minutes]]/G109)</f>
        <v>0.62731871838111297</v>
      </c>
    </row>
    <row r="110" spans="1:8">
      <c r="A110" s="48" t="s">
        <v>309</v>
      </c>
      <c r="B110" s="48" t="s">
        <v>664</v>
      </c>
      <c r="C110" s="48" t="s">
        <v>662</v>
      </c>
      <c r="D110" s="48">
        <v>93</v>
      </c>
      <c r="E110" s="48">
        <v>2057</v>
      </c>
      <c r="F110" s="49">
        <f t="shared" si="1"/>
        <v>4.0690325717063685</v>
      </c>
      <c r="G110" s="48">
        <v>5.5</v>
      </c>
      <c r="H110" s="49">
        <f>(Table1[[#This Row],[Points Per 90 Minutes]]/G110)</f>
        <v>0.73982410394661247</v>
      </c>
    </row>
    <row r="111" spans="1:8">
      <c r="A111" s="48" t="s">
        <v>279</v>
      </c>
      <c r="B111" s="48" t="s">
        <v>664</v>
      </c>
      <c r="C111" s="48" t="s">
        <v>663</v>
      </c>
      <c r="D111" s="48">
        <v>93</v>
      </c>
      <c r="E111" s="48">
        <v>2293</v>
      </c>
      <c r="F111" s="49">
        <f t="shared" si="1"/>
        <v>3.6502398604448323</v>
      </c>
      <c r="G111" s="48">
        <v>5</v>
      </c>
      <c r="H111" s="49">
        <f>(Table1[[#This Row],[Points Per 90 Minutes]]/G111)</f>
        <v>0.73004797208896643</v>
      </c>
    </row>
    <row r="112" spans="1:8">
      <c r="A112" s="48" t="s">
        <v>278</v>
      </c>
      <c r="B112" s="48" t="s">
        <v>660</v>
      </c>
      <c r="C112" s="48" t="s">
        <v>663</v>
      </c>
      <c r="D112" s="48">
        <v>93</v>
      </c>
      <c r="E112" s="48">
        <v>2300</v>
      </c>
      <c r="F112" s="49">
        <f t="shared" si="1"/>
        <v>3.6391304347826088</v>
      </c>
      <c r="G112" s="48">
        <v>7</v>
      </c>
      <c r="H112" s="49">
        <f>(Table1[[#This Row],[Points Per 90 Minutes]]/G112)</f>
        <v>0.51987577639751559</v>
      </c>
    </row>
    <row r="113" spans="1:8">
      <c r="A113" s="48" t="s">
        <v>254</v>
      </c>
      <c r="B113" s="48" t="s">
        <v>664</v>
      </c>
      <c r="C113" s="48" t="s">
        <v>666</v>
      </c>
      <c r="D113" s="48">
        <v>93</v>
      </c>
      <c r="E113" s="48">
        <v>2475</v>
      </c>
      <c r="F113" s="49">
        <f t="shared" si="1"/>
        <v>3.3818181818181818</v>
      </c>
      <c r="G113" s="48">
        <v>5</v>
      </c>
      <c r="H113" s="49">
        <f>(Table1[[#This Row],[Points Per 90 Minutes]]/G113)</f>
        <v>0.67636363636363639</v>
      </c>
    </row>
    <row r="114" spans="1:8">
      <c r="A114" s="48" t="s">
        <v>273</v>
      </c>
      <c r="B114" s="48" t="s">
        <v>664</v>
      </c>
      <c r="C114" s="48" t="s">
        <v>121</v>
      </c>
      <c r="D114" s="48">
        <v>92</v>
      </c>
      <c r="E114" s="48">
        <v>2311</v>
      </c>
      <c r="F114" s="49">
        <f t="shared" si="1"/>
        <v>3.582864560796192</v>
      </c>
      <c r="G114" s="48">
        <v>5.5</v>
      </c>
      <c r="H114" s="49">
        <f>(Table1[[#This Row],[Points Per 90 Minutes]]/G114)</f>
        <v>0.6514299201447622</v>
      </c>
    </row>
    <row r="115" spans="1:8">
      <c r="A115" s="48" t="s">
        <v>369</v>
      </c>
      <c r="B115" s="48" t="s">
        <v>664</v>
      </c>
      <c r="C115" s="48" t="s">
        <v>662</v>
      </c>
      <c r="D115" s="48">
        <v>92</v>
      </c>
      <c r="E115" s="48">
        <v>1489</v>
      </c>
      <c r="F115" s="49">
        <f t="shared" si="1"/>
        <v>5.5607790463398254</v>
      </c>
      <c r="G115" s="48">
        <v>5.5</v>
      </c>
      <c r="H115" s="49">
        <f>(Table1[[#This Row],[Points Per 90 Minutes]]/G115)</f>
        <v>1.0110507356981502</v>
      </c>
    </row>
    <row r="116" spans="1:8">
      <c r="A116" s="48" t="s">
        <v>217</v>
      </c>
      <c r="B116" s="48" t="s">
        <v>664</v>
      </c>
      <c r="C116" s="48" t="s">
        <v>671</v>
      </c>
      <c r="D116" s="48">
        <v>92</v>
      </c>
      <c r="E116" s="48">
        <v>2831</v>
      </c>
      <c r="F116" s="49">
        <f t="shared" si="1"/>
        <v>2.924761568350406</v>
      </c>
      <c r="G116" s="48">
        <v>5</v>
      </c>
      <c r="H116" s="49">
        <f>(Table1[[#This Row],[Points Per 90 Minutes]]/G116)</f>
        <v>0.58495231367008116</v>
      </c>
    </row>
    <row r="117" spans="1:8">
      <c r="A117" s="48" t="s">
        <v>321</v>
      </c>
      <c r="B117" s="48" t="s">
        <v>660</v>
      </c>
      <c r="C117" s="48" t="s">
        <v>126</v>
      </c>
      <c r="D117" s="48">
        <v>91</v>
      </c>
      <c r="E117" s="48">
        <v>1977</v>
      </c>
      <c r="F117" s="49">
        <f t="shared" si="1"/>
        <v>4.1426403641881642</v>
      </c>
      <c r="G117" s="48">
        <v>5.5</v>
      </c>
      <c r="H117" s="49">
        <f>(Table1[[#This Row],[Points Per 90 Minutes]]/G117)</f>
        <v>0.75320733894330261</v>
      </c>
    </row>
    <row r="118" spans="1:8">
      <c r="A118" s="48" t="s">
        <v>332</v>
      </c>
      <c r="B118" s="48" t="s">
        <v>664</v>
      </c>
      <c r="C118" s="48" t="s">
        <v>669</v>
      </c>
      <c r="D118" s="48">
        <v>91</v>
      </c>
      <c r="E118" s="48">
        <v>1878</v>
      </c>
      <c r="F118" s="49">
        <f t="shared" si="1"/>
        <v>4.361022364217253</v>
      </c>
      <c r="G118" s="48">
        <v>6</v>
      </c>
      <c r="H118" s="49">
        <f>(Table1[[#This Row],[Points Per 90 Minutes]]/G118)</f>
        <v>0.72683706070287546</v>
      </c>
    </row>
    <row r="119" spans="1:8">
      <c r="A119" s="48" t="s">
        <v>194</v>
      </c>
      <c r="B119" s="48" t="s">
        <v>660</v>
      </c>
      <c r="C119" s="48" t="s">
        <v>125</v>
      </c>
      <c r="D119" s="48">
        <v>90</v>
      </c>
      <c r="E119" s="48">
        <v>3122</v>
      </c>
      <c r="F119" s="49">
        <f t="shared" si="1"/>
        <v>2.5944907110826394</v>
      </c>
      <c r="G119" s="48">
        <v>5</v>
      </c>
      <c r="H119" s="49">
        <f>(Table1[[#This Row],[Points Per 90 Minutes]]/G119)</f>
        <v>0.51889814221652786</v>
      </c>
    </row>
    <row r="120" spans="1:8">
      <c r="A120" s="48" t="s">
        <v>171</v>
      </c>
      <c r="B120" s="48" t="s">
        <v>664</v>
      </c>
      <c r="C120" s="48" t="s">
        <v>126</v>
      </c>
      <c r="D120" s="48">
        <v>90</v>
      </c>
      <c r="E120" s="48">
        <v>3330</v>
      </c>
      <c r="F120" s="49">
        <f t="shared" si="1"/>
        <v>2.4324324324324325</v>
      </c>
      <c r="G120" s="48">
        <v>4.5</v>
      </c>
      <c r="H120" s="49">
        <f>(Table1[[#This Row],[Points Per 90 Minutes]]/G120)</f>
        <v>0.54054054054054057</v>
      </c>
    </row>
    <row r="121" spans="1:8">
      <c r="A121" s="48" t="s">
        <v>290</v>
      </c>
      <c r="B121" s="48" t="s">
        <v>660</v>
      </c>
      <c r="C121" s="48" t="s">
        <v>134</v>
      </c>
      <c r="D121" s="48">
        <v>90</v>
      </c>
      <c r="E121" s="48">
        <v>2186</v>
      </c>
      <c r="F121" s="49">
        <f t="shared" si="1"/>
        <v>3.7053979871912173</v>
      </c>
      <c r="G121" s="48">
        <v>5.5</v>
      </c>
      <c r="H121" s="49">
        <f>(Table1[[#This Row],[Points Per 90 Minutes]]/G121)</f>
        <v>0.6737087249438577</v>
      </c>
    </row>
    <row r="122" spans="1:8">
      <c r="A122" s="48" t="s">
        <v>221</v>
      </c>
      <c r="B122" s="48" t="s">
        <v>664</v>
      </c>
      <c r="C122" s="48" t="s">
        <v>663</v>
      </c>
      <c r="D122" s="48">
        <v>90</v>
      </c>
      <c r="E122" s="48">
        <v>2811</v>
      </c>
      <c r="F122" s="49">
        <f t="shared" si="1"/>
        <v>2.8815368196371396</v>
      </c>
      <c r="G122" s="48">
        <v>5.5</v>
      </c>
      <c r="H122" s="49">
        <f>(Table1[[#This Row],[Points Per 90 Minutes]]/G122)</f>
        <v>0.52391578538857086</v>
      </c>
    </row>
    <row r="123" spans="1:8">
      <c r="A123" s="48" t="s">
        <v>350</v>
      </c>
      <c r="B123" s="48" t="s">
        <v>661</v>
      </c>
      <c r="C123" s="48" t="s">
        <v>121</v>
      </c>
      <c r="D123" s="48">
        <v>89</v>
      </c>
      <c r="E123" s="48">
        <v>1709</v>
      </c>
      <c r="F123" s="49">
        <f t="shared" si="1"/>
        <v>4.6869514335868923</v>
      </c>
      <c r="G123" s="48">
        <v>7.5</v>
      </c>
      <c r="H123" s="49">
        <f>(Table1[[#This Row],[Points Per 90 Minutes]]/G123)</f>
        <v>0.62492685781158563</v>
      </c>
    </row>
    <row r="124" spans="1:8">
      <c r="A124" s="48" t="s">
        <v>306</v>
      </c>
      <c r="B124" s="48" t="s">
        <v>660</v>
      </c>
      <c r="C124" s="48" t="s">
        <v>669</v>
      </c>
      <c r="D124" s="48">
        <v>89</v>
      </c>
      <c r="E124" s="48">
        <v>2065</v>
      </c>
      <c r="F124" s="49">
        <f t="shared" si="1"/>
        <v>3.8789346246973366</v>
      </c>
      <c r="G124" s="48">
        <v>6</v>
      </c>
      <c r="H124" s="49">
        <f>(Table1[[#This Row],[Points Per 90 Minutes]]/G124)</f>
        <v>0.64648910411622273</v>
      </c>
    </row>
    <row r="125" spans="1:8">
      <c r="A125" s="48" t="s">
        <v>339</v>
      </c>
      <c r="B125" s="48" t="s">
        <v>660</v>
      </c>
      <c r="C125" s="48" t="s">
        <v>669</v>
      </c>
      <c r="D125" s="48">
        <v>89</v>
      </c>
      <c r="E125" s="48">
        <v>1831</v>
      </c>
      <c r="F125" s="49">
        <f t="shared" si="1"/>
        <v>4.3746586564718735</v>
      </c>
      <c r="G125" s="48">
        <v>6.5</v>
      </c>
      <c r="H125" s="49">
        <f>(Table1[[#This Row],[Points Per 90 Minutes]]/G125)</f>
        <v>0.67302440868798052</v>
      </c>
    </row>
    <row r="126" spans="1:8">
      <c r="A126" s="48" t="s">
        <v>365</v>
      </c>
      <c r="B126" s="48" t="s">
        <v>661</v>
      </c>
      <c r="C126" s="48" t="s">
        <v>134</v>
      </c>
      <c r="D126" s="48">
        <v>89</v>
      </c>
      <c r="E126" s="48">
        <v>1545</v>
      </c>
      <c r="F126" s="49">
        <f t="shared" si="1"/>
        <v>5.1844660194174761</v>
      </c>
      <c r="G126" s="48">
        <v>6</v>
      </c>
      <c r="H126" s="49">
        <f>(Table1[[#This Row],[Points Per 90 Minutes]]/G126)</f>
        <v>0.86407766990291268</v>
      </c>
    </row>
    <row r="127" spans="1:8">
      <c r="A127" s="48" t="s">
        <v>304</v>
      </c>
      <c r="B127" s="48" t="s">
        <v>664</v>
      </c>
      <c r="C127" s="48" t="s">
        <v>668</v>
      </c>
      <c r="D127" s="48">
        <v>89</v>
      </c>
      <c r="E127" s="48">
        <v>2071</v>
      </c>
      <c r="F127" s="49">
        <f t="shared" si="1"/>
        <v>3.8676967648478997</v>
      </c>
      <c r="G127" s="48">
        <v>5</v>
      </c>
      <c r="H127" s="49">
        <f>(Table1[[#This Row],[Points Per 90 Minutes]]/G127)</f>
        <v>0.77353935296957999</v>
      </c>
    </row>
    <row r="128" spans="1:8">
      <c r="A128" s="48" t="s">
        <v>277</v>
      </c>
      <c r="B128" s="48" t="s">
        <v>660</v>
      </c>
      <c r="C128" s="48" t="s">
        <v>665</v>
      </c>
      <c r="D128" s="48">
        <v>89</v>
      </c>
      <c r="E128" s="48">
        <v>2302</v>
      </c>
      <c r="F128" s="49">
        <f t="shared" si="1"/>
        <v>3.479582971329279</v>
      </c>
      <c r="G128" s="48">
        <v>5.5</v>
      </c>
      <c r="H128" s="49">
        <f>(Table1[[#This Row],[Points Per 90 Minutes]]/G128)</f>
        <v>0.63265144933259621</v>
      </c>
    </row>
    <row r="129" spans="1:8">
      <c r="A129" s="48" t="s">
        <v>242</v>
      </c>
      <c r="B129" s="48" t="s">
        <v>664</v>
      </c>
      <c r="C129" s="48" t="s">
        <v>669</v>
      </c>
      <c r="D129" s="48">
        <v>88</v>
      </c>
      <c r="E129" s="48">
        <v>2580</v>
      </c>
      <c r="F129" s="49">
        <f t="shared" si="1"/>
        <v>3.0697674418604652</v>
      </c>
      <c r="G129" s="48">
        <v>5.5</v>
      </c>
      <c r="H129" s="49">
        <f>(Table1[[#This Row],[Points Per 90 Minutes]]/G129)</f>
        <v>0.55813953488372092</v>
      </c>
    </row>
    <row r="130" spans="1:8">
      <c r="A130" s="48" t="s">
        <v>282</v>
      </c>
      <c r="B130" s="48" t="s">
        <v>664</v>
      </c>
      <c r="C130" s="48" t="s">
        <v>663</v>
      </c>
      <c r="D130" s="48">
        <v>88</v>
      </c>
      <c r="E130" s="48">
        <v>2261</v>
      </c>
      <c r="F130" s="49">
        <f t="shared" ref="F130:F193" si="2">D130/E130*90</f>
        <v>3.5028748341441842</v>
      </c>
      <c r="G130" s="48">
        <v>5</v>
      </c>
      <c r="H130" s="49">
        <f>(Table1[[#This Row],[Points Per 90 Minutes]]/G130)</f>
        <v>0.7005749668288368</v>
      </c>
    </row>
    <row r="131" spans="1:8">
      <c r="A131" s="48" t="s">
        <v>303</v>
      </c>
      <c r="B131" s="48" t="s">
        <v>660</v>
      </c>
      <c r="C131" s="48" t="s">
        <v>126</v>
      </c>
      <c r="D131" s="48">
        <v>86</v>
      </c>
      <c r="E131" s="48">
        <v>2077</v>
      </c>
      <c r="F131" s="49">
        <f t="shared" si="2"/>
        <v>3.7265286470871448</v>
      </c>
      <c r="G131" s="48">
        <v>5</v>
      </c>
      <c r="H131" s="49">
        <f>(Table1[[#This Row],[Points Per 90 Minutes]]/G131)</f>
        <v>0.74530572941742901</v>
      </c>
    </row>
    <row r="132" spans="1:8">
      <c r="A132" s="48" t="s">
        <v>225</v>
      </c>
      <c r="B132" s="48" t="s">
        <v>661</v>
      </c>
      <c r="C132" s="48" t="s">
        <v>136</v>
      </c>
      <c r="D132" s="48">
        <v>85</v>
      </c>
      <c r="E132" s="48">
        <v>2768</v>
      </c>
      <c r="F132" s="49">
        <f t="shared" si="2"/>
        <v>2.7637283236994219</v>
      </c>
      <c r="G132" s="48">
        <v>6</v>
      </c>
      <c r="H132" s="49">
        <f>(Table1[[#This Row],[Points Per 90 Minutes]]/G132)</f>
        <v>0.46062138728323698</v>
      </c>
    </row>
    <row r="133" spans="1:8">
      <c r="A133" s="48" t="s">
        <v>335</v>
      </c>
      <c r="B133" s="48" t="s">
        <v>660</v>
      </c>
      <c r="C133" s="48" t="s">
        <v>666</v>
      </c>
      <c r="D133" s="48">
        <v>85</v>
      </c>
      <c r="E133" s="48">
        <v>1862</v>
      </c>
      <c r="F133" s="49">
        <f t="shared" si="2"/>
        <v>4.1084854994629429</v>
      </c>
      <c r="G133" s="48">
        <v>5</v>
      </c>
      <c r="H133" s="49">
        <f>(Table1[[#This Row],[Points Per 90 Minutes]]/G133)</f>
        <v>0.82169709989258854</v>
      </c>
    </row>
    <row r="134" spans="1:8">
      <c r="A134" s="48" t="s">
        <v>215</v>
      </c>
      <c r="B134" s="48" t="s">
        <v>667</v>
      </c>
      <c r="C134" s="48" t="s">
        <v>127</v>
      </c>
      <c r="D134" s="48">
        <v>84</v>
      </c>
      <c r="E134" s="48">
        <v>2835</v>
      </c>
      <c r="F134" s="49">
        <f t="shared" si="2"/>
        <v>2.666666666666667</v>
      </c>
      <c r="G134" s="48">
        <v>5</v>
      </c>
      <c r="H134" s="49">
        <f>(Table1[[#This Row],[Points Per 90 Minutes]]/G134)</f>
        <v>0.53333333333333344</v>
      </c>
    </row>
    <row r="135" spans="1:8">
      <c r="A135" s="48" t="s">
        <v>244</v>
      </c>
      <c r="B135" s="48" t="s">
        <v>664</v>
      </c>
      <c r="C135" s="48" t="s">
        <v>662</v>
      </c>
      <c r="D135" s="48">
        <v>84</v>
      </c>
      <c r="E135" s="48">
        <v>2562</v>
      </c>
      <c r="F135" s="49">
        <f t="shared" si="2"/>
        <v>2.9508196721311477</v>
      </c>
      <c r="G135" s="48">
        <v>5.5</v>
      </c>
      <c r="H135" s="49">
        <f>(Table1[[#This Row],[Points Per 90 Minutes]]/G135)</f>
        <v>0.53651266766020866</v>
      </c>
    </row>
    <row r="136" spans="1:8">
      <c r="A136" s="48" t="s">
        <v>245</v>
      </c>
      <c r="B136" s="48" t="s">
        <v>664</v>
      </c>
      <c r="C136" s="48" t="s">
        <v>671</v>
      </c>
      <c r="D136" s="48">
        <v>84</v>
      </c>
      <c r="E136" s="48">
        <v>2562</v>
      </c>
      <c r="F136" s="49">
        <f t="shared" si="2"/>
        <v>2.9508196721311477</v>
      </c>
      <c r="G136" s="48">
        <v>5</v>
      </c>
      <c r="H136" s="49">
        <f>(Table1[[#This Row],[Points Per 90 Minutes]]/G136)</f>
        <v>0.5901639344262295</v>
      </c>
    </row>
    <row r="137" spans="1:8">
      <c r="A137" s="48" t="s">
        <v>327</v>
      </c>
      <c r="B137" s="48" t="s">
        <v>660</v>
      </c>
      <c r="C137" s="48" t="s">
        <v>671</v>
      </c>
      <c r="D137" s="48">
        <v>84</v>
      </c>
      <c r="E137" s="48">
        <v>1918</v>
      </c>
      <c r="F137" s="49">
        <f t="shared" si="2"/>
        <v>3.9416058394160585</v>
      </c>
      <c r="G137" s="48">
        <v>6</v>
      </c>
      <c r="H137" s="49">
        <f>(Table1[[#This Row],[Points Per 90 Minutes]]/G137)</f>
        <v>0.65693430656934304</v>
      </c>
    </row>
    <row r="138" spans="1:8">
      <c r="A138" s="48" t="s">
        <v>275</v>
      </c>
      <c r="B138" s="48" t="s">
        <v>664</v>
      </c>
      <c r="C138" s="48" t="s">
        <v>136</v>
      </c>
      <c r="D138" s="48">
        <v>84</v>
      </c>
      <c r="E138" s="48">
        <v>2307</v>
      </c>
      <c r="F138" s="49">
        <f t="shared" si="2"/>
        <v>3.2769830949284784</v>
      </c>
      <c r="G138" s="48">
        <v>5</v>
      </c>
      <c r="H138" s="49">
        <f>(Table1[[#This Row],[Points Per 90 Minutes]]/G138)</f>
        <v>0.65539661898569568</v>
      </c>
    </row>
    <row r="139" spans="1:8">
      <c r="A139" s="48" t="s">
        <v>355</v>
      </c>
      <c r="B139" s="48" t="s">
        <v>661</v>
      </c>
      <c r="C139" s="48" t="s">
        <v>666</v>
      </c>
      <c r="D139" s="48">
        <v>84</v>
      </c>
      <c r="E139" s="48">
        <v>1650</v>
      </c>
      <c r="F139" s="49">
        <f t="shared" si="2"/>
        <v>4.581818181818182</v>
      </c>
      <c r="G139" s="48">
        <v>7</v>
      </c>
      <c r="H139" s="49">
        <f>(Table1[[#This Row],[Points Per 90 Minutes]]/G139)</f>
        <v>0.65454545454545454</v>
      </c>
    </row>
    <row r="140" spans="1:8">
      <c r="A140" s="48" t="s">
        <v>292</v>
      </c>
      <c r="B140" s="48" t="s">
        <v>667</v>
      </c>
      <c r="C140" s="48" t="s">
        <v>670</v>
      </c>
      <c r="D140" s="48">
        <v>83</v>
      </c>
      <c r="E140" s="48">
        <v>2160</v>
      </c>
      <c r="F140" s="49">
        <f t="shared" si="2"/>
        <v>3.4583333333333335</v>
      </c>
      <c r="G140" s="48">
        <v>4.5</v>
      </c>
      <c r="H140" s="49">
        <f>(Table1[[#This Row],[Points Per 90 Minutes]]/G140)</f>
        <v>0.7685185185185186</v>
      </c>
    </row>
    <row r="141" spans="1:8">
      <c r="A141" s="48" t="s">
        <v>311</v>
      </c>
      <c r="B141" s="48" t="s">
        <v>664</v>
      </c>
      <c r="C141" s="48" t="s">
        <v>127</v>
      </c>
      <c r="D141" s="48">
        <v>82</v>
      </c>
      <c r="E141" s="48">
        <v>2043</v>
      </c>
      <c r="F141" s="49">
        <f t="shared" si="2"/>
        <v>3.6123348017621146</v>
      </c>
      <c r="G141" s="48">
        <v>5.5</v>
      </c>
      <c r="H141" s="49">
        <f>(Table1[[#This Row],[Points Per 90 Minutes]]/G141)</f>
        <v>0.65678814577492994</v>
      </c>
    </row>
    <row r="142" spans="1:8">
      <c r="A142" s="48" t="s">
        <v>291</v>
      </c>
      <c r="B142" s="48" t="s">
        <v>660</v>
      </c>
      <c r="C142" s="48" t="s">
        <v>669</v>
      </c>
      <c r="D142" s="48">
        <v>82</v>
      </c>
      <c r="E142" s="48">
        <v>2170</v>
      </c>
      <c r="F142" s="49">
        <f t="shared" si="2"/>
        <v>3.4009216589861748</v>
      </c>
      <c r="G142" s="48">
        <v>5.5</v>
      </c>
      <c r="H142" s="49">
        <f>(Table1[[#This Row],[Points Per 90 Minutes]]/G142)</f>
        <v>0.61834939254294086</v>
      </c>
    </row>
    <row r="143" spans="1:8">
      <c r="A143" s="48" t="s">
        <v>243</v>
      </c>
      <c r="B143" s="48" t="s">
        <v>660</v>
      </c>
      <c r="C143" s="48" t="s">
        <v>126</v>
      </c>
      <c r="D143" s="48">
        <v>81</v>
      </c>
      <c r="E143" s="48">
        <v>2571</v>
      </c>
      <c r="F143" s="49">
        <f t="shared" si="2"/>
        <v>2.835472578763127</v>
      </c>
      <c r="G143" s="48">
        <v>5</v>
      </c>
      <c r="H143" s="49">
        <f>(Table1[[#This Row],[Points Per 90 Minutes]]/G143)</f>
        <v>0.56709451575262537</v>
      </c>
    </row>
    <row r="144" spans="1:8">
      <c r="A144" s="48" t="s">
        <v>238</v>
      </c>
      <c r="B144" s="48" t="s">
        <v>660</v>
      </c>
      <c r="C144" s="48" t="s">
        <v>127</v>
      </c>
      <c r="D144" s="48">
        <v>81</v>
      </c>
      <c r="E144" s="48">
        <v>2597</v>
      </c>
      <c r="F144" s="49">
        <f t="shared" si="2"/>
        <v>2.8070850981902193</v>
      </c>
      <c r="G144" s="48">
        <v>5.5</v>
      </c>
      <c r="H144" s="49">
        <f>(Table1[[#This Row],[Points Per 90 Minutes]]/G144)</f>
        <v>0.5103791087618581</v>
      </c>
    </row>
    <row r="145" spans="1:8">
      <c r="A145" s="48" t="s">
        <v>379</v>
      </c>
      <c r="B145" s="48" t="s">
        <v>660</v>
      </c>
      <c r="C145" s="48" t="s">
        <v>127</v>
      </c>
      <c r="D145" s="48">
        <v>81</v>
      </c>
      <c r="E145" s="48">
        <v>1421</v>
      </c>
      <c r="F145" s="49">
        <f t="shared" si="2"/>
        <v>5.1301900070372977</v>
      </c>
      <c r="G145" s="48">
        <v>7</v>
      </c>
      <c r="H145" s="49">
        <f>(Table1[[#This Row],[Points Per 90 Minutes]]/G145)</f>
        <v>0.73288428671961392</v>
      </c>
    </row>
    <row r="146" spans="1:8">
      <c r="A146" s="48" t="s">
        <v>326</v>
      </c>
      <c r="B146" s="48" t="s">
        <v>660</v>
      </c>
      <c r="C146" s="48" t="s">
        <v>136</v>
      </c>
      <c r="D146" s="48">
        <v>81</v>
      </c>
      <c r="E146" s="48">
        <v>1941</v>
      </c>
      <c r="F146" s="49">
        <f t="shared" si="2"/>
        <v>3.7557959814528594</v>
      </c>
      <c r="G146" s="48">
        <v>5</v>
      </c>
      <c r="H146" s="49">
        <f>(Table1[[#This Row],[Points Per 90 Minutes]]/G146)</f>
        <v>0.75115919629057193</v>
      </c>
    </row>
    <row r="147" spans="1:8">
      <c r="A147" s="48" t="s">
        <v>274</v>
      </c>
      <c r="B147" s="48" t="s">
        <v>660</v>
      </c>
      <c r="C147" s="48" t="s">
        <v>666</v>
      </c>
      <c r="D147" s="48">
        <v>81</v>
      </c>
      <c r="E147" s="48">
        <v>2309</v>
      </c>
      <c r="F147" s="49">
        <f t="shared" si="2"/>
        <v>3.1572109138155047</v>
      </c>
      <c r="G147" s="48">
        <v>5.5</v>
      </c>
      <c r="H147" s="49">
        <f>(Table1[[#This Row],[Points Per 90 Minutes]]/G147)</f>
        <v>0.57403834796645536</v>
      </c>
    </row>
    <row r="148" spans="1:8">
      <c r="A148" s="48" t="s">
        <v>216</v>
      </c>
      <c r="B148" s="48" t="s">
        <v>664</v>
      </c>
      <c r="C148" s="48" t="s">
        <v>672</v>
      </c>
      <c r="D148" s="48">
        <v>80</v>
      </c>
      <c r="E148" s="48">
        <v>2835</v>
      </c>
      <c r="F148" s="49">
        <f t="shared" si="2"/>
        <v>2.5396825396825395</v>
      </c>
      <c r="G148" s="48">
        <v>4.5</v>
      </c>
      <c r="H148" s="49">
        <f>(Table1[[#This Row],[Points Per 90 Minutes]]/G148)</f>
        <v>0.56437389770723101</v>
      </c>
    </row>
    <row r="149" spans="1:8">
      <c r="A149" s="48" t="s">
        <v>269</v>
      </c>
      <c r="B149" s="48" t="s">
        <v>660</v>
      </c>
      <c r="C149" s="48" t="s">
        <v>134</v>
      </c>
      <c r="D149" s="48">
        <v>80</v>
      </c>
      <c r="E149" s="48">
        <v>2360</v>
      </c>
      <c r="F149" s="49">
        <f t="shared" si="2"/>
        <v>3.0508474576271185</v>
      </c>
      <c r="G149" s="48">
        <v>4.5</v>
      </c>
      <c r="H149" s="49">
        <f>(Table1[[#This Row],[Points Per 90 Minutes]]/G149)</f>
        <v>0.67796610169491522</v>
      </c>
    </row>
    <row r="150" spans="1:8">
      <c r="A150" s="48" t="s">
        <v>361</v>
      </c>
      <c r="B150" s="48" t="s">
        <v>660</v>
      </c>
      <c r="C150" s="48" t="s">
        <v>666</v>
      </c>
      <c r="D150" s="48">
        <v>80</v>
      </c>
      <c r="E150" s="48">
        <v>1577</v>
      </c>
      <c r="F150" s="49">
        <f t="shared" si="2"/>
        <v>4.5656309448319599</v>
      </c>
      <c r="G150" s="48">
        <v>6</v>
      </c>
      <c r="H150" s="49">
        <f>(Table1[[#This Row],[Points Per 90 Minutes]]/G150)</f>
        <v>0.76093849080532661</v>
      </c>
    </row>
    <row r="151" spans="1:8">
      <c r="A151" s="48" t="s">
        <v>237</v>
      </c>
      <c r="B151" s="48" t="s">
        <v>660</v>
      </c>
      <c r="C151" s="48" t="s">
        <v>126</v>
      </c>
      <c r="D151" s="48">
        <v>79</v>
      </c>
      <c r="E151" s="48">
        <v>2601</v>
      </c>
      <c r="F151" s="49">
        <f t="shared" si="2"/>
        <v>2.7335640138408306</v>
      </c>
      <c r="G151" s="48">
        <v>5</v>
      </c>
      <c r="H151" s="49">
        <f>(Table1[[#This Row],[Points Per 90 Minutes]]/G151)</f>
        <v>0.54671280276816614</v>
      </c>
    </row>
    <row r="152" spans="1:8">
      <c r="A152" s="48" t="s">
        <v>264</v>
      </c>
      <c r="B152" s="48" t="s">
        <v>660</v>
      </c>
      <c r="C152" s="48" t="s">
        <v>127</v>
      </c>
      <c r="D152" s="48">
        <v>79</v>
      </c>
      <c r="E152" s="48">
        <v>2400</v>
      </c>
      <c r="F152" s="49">
        <f t="shared" si="2"/>
        <v>2.9624999999999999</v>
      </c>
      <c r="G152" s="48">
        <v>5</v>
      </c>
      <c r="H152" s="49">
        <f>(Table1[[#This Row],[Points Per 90 Minutes]]/G152)</f>
        <v>0.59250000000000003</v>
      </c>
    </row>
    <row r="153" spans="1:8">
      <c r="A153" s="48" t="s">
        <v>234</v>
      </c>
      <c r="B153" s="48" t="s">
        <v>660</v>
      </c>
      <c r="C153" s="48" t="s">
        <v>134</v>
      </c>
      <c r="D153" s="48">
        <v>79</v>
      </c>
      <c r="E153" s="48">
        <v>2637</v>
      </c>
      <c r="F153" s="49">
        <f t="shared" si="2"/>
        <v>2.696245733788396</v>
      </c>
      <c r="G153" s="48">
        <v>5</v>
      </c>
      <c r="H153" s="49">
        <f>(Table1[[#This Row],[Points Per 90 Minutes]]/G153)</f>
        <v>0.53924914675767921</v>
      </c>
    </row>
    <row r="154" spans="1:8">
      <c r="A154" s="48" t="s">
        <v>363</v>
      </c>
      <c r="B154" s="48" t="s">
        <v>660</v>
      </c>
      <c r="C154" s="48" t="s">
        <v>662</v>
      </c>
      <c r="D154" s="48">
        <v>78</v>
      </c>
      <c r="E154" s="48">
        <v>1570</v>
      </c>
      <c r="F154" s="49">
        <f t="shared" si="2"/>
        <v>4.4713375796178347</v>
      </c>
      <c r="G154" s="48">
        <v>7</v>
      </c>
      <c r="H154" s="49">
        <f>(Table1[[#This Row],[Points Per 90 Minutes]]/G154)</f>
        <v>0.63876251137397644</v>
      </c>
    </row>
    <row r="155" spans="1:8">
      <c r="A155" s="48" t="s">
        <v>364</v>
      </c>
      <c r="B155" s="48" t="s">
        <v>664</v>
      </c>
      <c r="C155" s="48" t="s">
        <v>121</v>
      </c>
      <c r="D155" s="48">
        <v>77</v>
      </c>
      <c r="E155" s="48">
        <v>1563</v>
      </c>
      <c r="F155" s="49">
        <f t="shared" si="2"/>
        <v>4.4337811900191939</v>
      </c>
      <c r="G155" s="48">
        <v>5.5</v>
      </c>
      <c r="H155" s="49">
        <f>(Table1[[#This Row],[Points Per 90 Minutes]]/G155)</f>
        <v>0.8061420345489444</v>
      </c>
    </row>
    <row r="156" spans="1:8">
      <c r="A156" s="48" t="s">
        <v>358</v>
      </c>
      <c r="B156" s="48" t="s">
        <v>667</v>
      </c>
      <c r="C156" s="48" t="s">
        <v>121</v>
      </c>
      <c r="D156" s="48">
        <v>76</v>
      </c>
      <c r="E156" s="48">
        <v>1620</v>
      </c>
      <c r="F156" s="49">
        <f t="shared" si="2"/>
        <v>4.2222222222222223</v>
      </c>
      <c r="G156" s="48">
        <v>5</v>
      </c>
      <c r="H156" s="49">
        <f>(Table1[[#This Row],[Points Per 90 Minutes]]/G156)</f>
        <v>0.84444444444444444</v>
      </c>
    </row>
    <row r="157" spans="1:8">
      <c r="A157" s="48" t="s">
        <v>354</v>
      </c>
      <c r="B157" s="48" t="s">
        <v>664</v>
      </c>
      <c r="C157" s="48" t="s">
        <v>121</v>
      </c>
      <c r="D157" s="48">
        <v>76</v>
      </c>
      <c r="E157" s="48">
        <v>1660</v>
      </c>
      <c r="F157" s="49">
        <f t="shared" si="2"/>
        <v>4.1204819277108431</v>
      </c>
      <c r="G157" s="48">
        <v>5.5</v>
      </c>
      <c r="H157" s="49">
        <f>(Table1[[#This Row],[Points Per 90 Minutes]]/G157)</f>
        <v>0.74917853231106235</v>
      </c>
    </row>
    <row r="158" spans="1:8">
      <c r="A158" s="48" t="s">
        <v>389</v>
      </c>
      <c r="B158" s="48" t="s">
        <v>661</v>
      </c>
      <c r="C158" s="48" t="s">
        <v>125</v>
      </c>
      <c r="D158" s="48">
        <v>76</v>
      </c>
      <c r="E158" s="48">
        <v>1288</v>
      </c>
      <c r="F158" s="49">
        <f t="shared" si="2"/>
        <v>5.3105590062111805</v>
      </c>
      <c r="G158" s="48">
        <v>7.5</v>
      </c>
      <c r="H158" s="49">
        <f>(Table1[[#This Row],[Points Per 90 Minutes]]/G158)</f>
        <v>0.70807453416149069</v>
      </c>
    </row>
    <row r="159" spans="1:8">
      <c r="A159" s="48" t="s">
        <v>341</v>
      </c>
      <c r="B159" s="48" t="s">
        <v>661</v>
      </c>
      <c r="C159" s="48" t="s">
        <v>136</v>
      </c>
      <c r="D159" s="48">
        <v>76</v>
      </c>
      <c r="E159" s="48">
        <v>1784</v>
      </c>
      <c r="F159" s="49">
        <f t="shared" si="2"/>
        <v>3.834080717488789</v>
      </c>
      <c r="G159" s="48">
        <v>5</v>
      </c>
      <c r="H159" s="49">
        <f>(Table1[[#This Row],[Points Per 90 Minutes]]/G159)</f>
        <v>0.76681614349775784</v>
      </c>
    </row>
    <row r="160" spans="1:8">
      <c r="A160" s="48" t="s">
        <v>324</v>
      </c>
      <c r="B160" s="48" t="s">
        <v>660</v>
      </c>
      <c r="C160" s="48" t="s">
        <v>127</v>
      </c>
      <c r="D160" s="48">
        <v>75</v>
      </c>
      <c r="E160" s="48">
        <v>1961</v>
      </c>
      <c r="F160" s="49">
        <f t="shared" si="2"/>
        <v>3.4421213666496686</v>
      </c>
      <c r="G160" s="48">
        <v>6.5</v>
      </c>
      <c r="H160" s="49">
        <f>(Table1[[#This Row],[Points Per 90 Minutes]]/G160)</f>
        <v>0.5295571333307183</v>
      </c>
    </row>
    <row r="161" spans="1:8">
      <c r="A161" s="48" t="s">
        <v>322</v>
      </c>
      <c r="B161" s="48" t="s">
        <v>664</v>
      </c>
      <c r="C161" s="48" t="s">
        <v>129</v>
      </c>
      <c r="D161" s="48">
        <v>75</v>
      </c>
      <c r="E161" s="48">
        <v>1972</v>
      </c>
      <c r="F161" s="49">
        <f t="shared" si="2"/>
        <v>3.4229208924949295</v>
      </c>
      <c r="G161" s="48">
        <v>4.5</v>
      </c>
      <c r="H161" s="49">
        <f>(Table1[[#This Row],[Points Per 90 Minutes]]/G161)</f>
        <v>0.76064908722109548</v>
      </c>
    </row>
    <row r="162" spans="1:8">
      <c r="A162" s="48" t="s">
        <v>272</v>
      </c>
      <c r="B162" s="48" t="s">
        <v>660</v>
      </c>
      <c r="C162" s="48" t="s">
        <v>663</v>
      </c>
      <c r="D162" s="48">
        <v>75</v>
      </c>
      <c r="E162" s="48">
        <v>2313</v>
      </c>
      <c r="F162" s="49">
        <f t="shared" si="2"/>
        <v>2.918287937743191</v>
      </c>
      <c r="G162" s="48">
        <v>5</v>
      </c>
      <c r="H162" s="49">
        <f>(Table1[[#This Row],[Points Per 90 Minutes]]/G162)</f>
        <v>0.58365758754863817</v>
      </c>
    </row>
    <row r="163" spans="1:8">
      <c r="A163" s="48" t="s">
        <v>340</v>
      </c>
      <c r="B163" s="48" t="s">
        <v>660</v>
      </c>
      <c r="C163" s="48" t="s">
        <v>666</v>
      </c>
      <c r="D163" s="48">
        <v>74</v>
      </c>
      <c r="E163" s="48">
        <v>1805</v>
      </c>
      <c r="F163" s="49">
        <f t="shared" si="2"/>
        <v>3.6897506925207755</v>
      </c>
      <c r="G163" s="48">
        <v>5</v>
      </c>
      <c r="H163" s="49">
        <f>(Table1[[#This Row],[Points Per 90 Minutes]]/G163)</f>
        <v>0.73795013850415514</v>
      </c>
    </row>
    <row r="164" spans="1:8">
      <c r="A164" s="48" t="s">
        <v>333</v>
      </c>
      <c r="B164" s="48" t="s">
        <v>664</v>
      </c>
      <c r="C164" s="48" t="s">
        <v>669</v>
      </c>
      <c r="D164" s="48">
        <v>73</v>
      </c>
      <c r="E164" s="48">
        <v>1876</v>
      </c>
      <c r="F164" s="49">
        <f t="shared" si="2"/>
        <v>3.5021321961620471</v>
      </c>
      <c r="G164" s="48">
        <v>5.5</v>
      </c>
      <c r="H164" s="49">
        <f>(Table1[[#This Row],[Points Per 90 Minutes]]/G164)</f>
        <v>0.63675130839309946</v>
      </c>
    </row>
    <row r="165" spans="1:8">
      <c r="A165" s="48" t="s">
        <v>351</v>
      </c>
      <c r="B165" s="48" t="s">
        <v>664</v>
      </c>
      <c r="C165" s="48" t="s">
        <v>134</v>
      </c>
      <c r="D165" s="48">
        <v>73</v>
      </c>
      <c r="E165" s="48">
        <v>1692</v>
      </c>
      <c r="F165" s="49">
        <f t="shared" si="2"/>
        <v>3.8829787234042552</v>
      </c>
      <c r="G165" s="48">
        <v>4.5</v>
      </c>
      <c r="H165" s="49">
        <f>(Table1[[#This Row],[Points Per 90 Minutes]]/G165)</f>
        <v>0.86288416075650121</v>
      </c>
    </row>
    <row r="166" spans="1:8">
      <c r="A166" s="48" t="s">
        <v>320</v>
      </c>
      <c r="B166" s="48" t="s">
        <v>664</v>
      </c>
      <c r="C166" s="48" t="s">
        <v>670</v>
      </c>
      <c r="D166" s="48">
        <v>72</v>
      </c>
      <c r="E166" s="48">
        <v>1989</v>
      </c>
      <c r="F166" s="49">
        <f t="shared" si="2"/>
        <v>3.2579185520361995</v>
      </c>
      <c r="G166" s="48">
        <v>4.5</v>
      </c>
      <c r="H166" s="49">
        <f>(Table1[[#This Row],[Points Per 90 Minutes]]/G166)</f>
        <v>0.72398190045248878</v>
      </c>
    </row>
    <row r="167" spans="1:8">
      <c r="A167" s="48" t="s">
        <v>372</v>
      </c>
      <c r="B167" s="48" t="s">
        <v>660</v>
      </c>
      <c r="C167" s="48" t="s">
        <v>134</v>
      </c>
      <c r="D167" s="48">
        <v>72</v>
      </c>
      <c r="E167" s="48">
        <v>1476</v>
      </c>
      <c r="F167" s="49">
        <f t="shared" si="2"/>
        <v>4.3902439024390247</v>
      </c>
      <c r="G167" s="48">
        <v>6</v>
      </c>
      <c r="H167" s="49">
        <f>(Table1[[#This Row],[Points Per 90 Minutes]]/G167)</f>
        <v>0.73170731707317083</v>
      </c>
    </row>
    <row r="168" spans="1:8">
      <c r="A168" s="48" t="s">
        <v>338</v>
      </c>
      <c r="B168" s="48" t="s">
        <v>664</v>
      </c>
      <c r="C168" s="48" t="s">
        <v>665</v>
      </c>
      <c r="D168" s="48">
        <v>72</v>
      </c>
      <c r="E168" s="48">
        <v>1852</v>
      </c>
      <c r="F168" s="49">
        <f t="shared" si="2"/>
        <v>3.4989200863930887</v>
      </c>
      <c r="G168" s="48">
        <v>5</v>
      </c>
      <c r="H168" s="49">
        <f>(Table1[[#This Row],[Points Per 90 Minutes]]/G168)</f>
        <v>0.69978401727861772</v>
      </c>
    </row>
    <row r="169" spans="1:8">
      <c r="A169" s="48" t="s">
        <v>325</v>
      </c>
      <c r="B169" s="48" t="s">
        <v>660</v>
      </c>
      <c r="C169" s="48" t="s">
        <v>672</v>
      </c>
      <c r="D169" s="48">
        <v>71</v>
      </c>
      <c r="E169" s="48">
        <v>1943</v>
      </c>
      <c r="F169" s="49">
        <f t="shared" si="2"/>
        <v>3.2887287699433867</v>
      </c>
      <c r="G169" s="48">
        <v>6.5</v>
      </c>
      <c r="H169" s="49">
        <f>(Table1[[#This Row],[Points Per 90 Minutes]]/G169)</f>
        <v>0.5059582722989826</v>
      </c>
    </row>
    <row r="170" spans="1:8">
      <c r="A170" s="48" t="s">
        <v>296</v>
      </c>
      <c r="B170" s="48" t="s">
        <v>664</v>
      </c>
      <c r="C170" s="48" t="s">
        <v>123</v>
      </c>
      <c r="D170" s="48">
        <v>70</v>
      </c>
      <c r="E170" s="48">
        <v>2129</v>
      </c>
      <c r="F170" s="49">
        <f t="shared" si="2"/>
        <v>2.9591357444809767</v>
      </c>
      <c r="G170" s="48">
        <v>4.5</v>
      </c>
      <c r="H170" s="49">
        <f>(Table1[[#This Row],[Points Per 90 Minutes]]/G170)</f>
        <v>0.65758572099577262</v>
      </c>
    </row>
    <row r="171" spans="1:8">
      <c r="A171" s="48" t="s">
        <v>259</v>
      </c>
      <c r="B171" s="48" t="s">
        <v>664</v>
      </c>
      <c r="C171" s="48" t="s">
        <v>123</v>
      </c>
      <c r="D171" s="48">
        <v>70</v>
      </c>
      <c r="E171" s="48">
        <v>2420</v>
      </c>
      <c r="F171" s="49">
        <f t="shared" si="2"/>
        <v>2.6033057851239669</v>
      </c>
      <c r="G171" s="48">
        <v>4.5</v>
      </c>
      <c r="H171" s="49">
        <f>(Table1[[#This Row],[Points Per 90 Minutes]]/G171)</f>
        <v>0.57851239669421484</v>
      </c>
    </row>
    <row r="172" spans="1:8">
      <c r="A172" s="48" t="s">
        <v>433</v>
      </c>
      <c r="B172" s="48" t="s">
        <v>661</v>
      </c>
      <c r="C172" s="48" t="s">
        <v>126</v>
      </c>
      <c r="D172" s="48">
        <v>70</v>
      </c>
      <c r="E172" s="48">
        <v>868</v>
      </c>
      <c r="F172" s="49">
        <f t="shared" si="2"/>
        <v>7.258064516129032</v>
      </c>
      <c r="G172" s="48">
        <v>6</v>
      </c>
      <c r="H172" s="49">
        <f>(Table1[[#This Row],[Points Per 90 Minutes]]/G172)</f>
        <v>1.2096774193548387</v>
      </c>
    </row>
    <row r="173" spans="1:8">
      <c r="A173" s="48" t="s">
        <v>349</v>
      </c>
      <c r="B173" s="48" t="s">
        <v>661</v>
      </c>
      <c r="C173" s="48" t="s">
        <v>670</v>
      </c>
      <c r="D173" s="48">
        <v>70</v>
      </c>
      <c r="E173" s="48">
        <v>1711</v>
      </c>
      <c r="F173" s="49">
        <f t="shared" si="2"/>
        <v>3.6820572764465229</v>
      </c>
      <c r="G173" s="48">
        <v>5.5</v>
      </c>
      <c r="H173" s="49">
        <f>(Table1[[#This Row],[Points Per 90 Minutes]]/G173)</f>
        <v>0.66946495935391326</v>
      </c>
    </row>
    <row r="174" spans="1:8">
      <c r="A174" s="48" t="s">
        <v>257</v>
      </c>
      <c r="B174" s="48" t="s">
        <v>660</v>
      </c>
      <c r="C174" s="48" t="s">
        <v>123</v>
      </c>
      <c r="D174" s="48">
        <v>69</v>
      </c>
      <c r="E174" s="48">
        <v>2433</v>
      </c>
      <c r="F174" s="49">
        <f t="shared" si="2"/>
        <v>2.552404438964242</v>
      </c>
      <c r="G174" s="48">
        <v>5.5</v>
      </c>
      <c r="H174" s="49">
        <f>(Table1[[#This Row],[Points Per 90 Minutes]]/G174)</f>
        <v>0.46407353435713489</v>
      </c>
    </row>
    <row r="175" spans="1:8">
      <c r="A175" s="48" t="s">
        <v>362</v>
      </c>
      <c r="B175" s="48" t="s">
        <v>664</v>
      </c>
      <c r="C175" s="48" t="s">
        <v>121</v>
      </c>
      <c r="D175" s="48">
        <v>68</v>
      </c>
      <c r="E175" s="48">
        <v>1572</v>
      </c>
      <c r="F175" s="49">
        <f t="shared" si="2"/>
        <v>3.893129770992366</v>
      </c>
      <c r="G175" s="48">
        <v>5</v>
      </c>
      <c r="H175" s="49">
        <f>(Table1[[#This Row],[Points Per 90 Minutes]]/G175)</f>
        <v>0.77862595419847325</v>
      </c>
    </row>
    <row r="176" spans="1:8">
      <c r="A176" s="48" t="s">
        <v>408</v>
      </c>
      <c r="B176" s="48" t="s">
        <v>661</v>
      </c>
      <c r="C176" s="48" t="s">
        <v>126</v>
      </c>
      <c r="D176" s="48">
        <v>67</v>
      </c>
      <c r="E176" s="48">
        <v>1096</v>
      </c>
      <c r="F176" s="49">
        <f t="shared" si="2"/>
        <v>5.5018248175182487</v>
      </c>
      <c r="G176" s="48">
        <v>5.5</v>
      </c>
      <c r="H176" s="49">
        <f>(Table1[[#This Row],[Points Per 90 Minutes]]/G176)</f>
        <v>1.000331785003318</v>
      </c>
    </row>
    <row r="177" spans="1:8">
      <c r="A177" s="48" t="s">
        <v>331</v>
      </c>
      <c r="B177" s="48" t="s">
        <v>660</v>
      </c>
      <c r="C177" s="48" t="s">
        <v>662</v>
      </c>
      <c r="D177" s="48">
        <v>67</v>
      </c>
      <c r="E177" s="48">
        <v>1879</v>
      </c>
      <c r="F177" s="49">
        <f t="shared" si="2"/>
        <v>3.2091538052155402</v>
      </c>
      <c r="G177" s="48">
        <v>5</v>
      </c>
      <c r="H177" s="49">
        <f>(Table1[[#This Row],[Points Per 90 Minutes]]/G177)</f>
        <v>0.64183076104310799</v>
      </c>
    </row>
    <row r="178" spans="1:8">
      <c r="A178" s="48" t="s">
        <v>323</v>
      </c>
      <c r="B178" s="48" t="s">
        <v>660</v>
      </c>
      <c r="C178" s="48" t="s">
        <v>672</v>
      </c>
      <c r="D178" s="48">
        <v>67</v>
      </c>
      <c r="E178" s="48">
        <v>1968</v>
      </c>
      <c r="F178" s="49">
        <f t="shared" si="2"/>
        <v>3.0640243902439024</v>
      </c>
      <c r="G178" s="48">
        <v>6</v>
      </c>
      <c r="H178" s="49">
        <f>(Table1[[#This Row],[Points Per 90 Minutes]]/G178)</f>
        <v>0.51067073170731703</v>
      </c>
    </row>
    <row r="179" spans="1:8">
      <c r="A179" s="48" t="s">
        <v>345</v>
      </c>
      <c r="B179" s="48" t="s">
        <v>660</v>
      </c>
      <c r="C179" s="48" t="s">
        <v>668</v>
      </c>
      <c r="D179" s="48">
        <v>67</v>
      </c>
      <c r="E179" s="48">
        <v>1762</v>
      </c>
      <c r="F179" s="49">
        <f t="shared" si="2"/>
        <v>3.4222474460839956</v>
      </c>
      <c r="G179" s="48">
        <v>5.5</v>
      </c>
      <c r="H179" s="49">
        <f>(Table1[[#This Row],[Points Per 90 Minutes]]/G179)</f>
        <v>0.62222680837890831</v>
      </c>
    </row>
    <row r="180" spans="1:8">
      <c r="A180" s="48" t="s">
        <v>377</v>
      </c>
      <c r="B180" s="48" t="s">
        <v>660</v>
      </c>
      <c r="C180" s="48" t="s">
        <v>125</v>
      </c>
      <c r="D180" s="48">
        <v>66</v>
      </c>
      <c r="E180" s="48">
        <v>1444</v>
      </c>
      <c r="F180" s="49">
        <f t="shared" si="2"/>
        <v>4.1135734072022165</v>
      </c>
      <c r="G180" s="48">
        <v>5.5</v>
      </c>
      <c r="H180" s="49">
        <f>(Table1[[#This Row],[Points Per 90 Minutes]]/G180)</f>
        <v>0.74792243767313027</v>
      </c>
    </row>
    <row r="181" spans="1:8">
      <c r="A181" s="48" t="s">
        <v>219</v>
      </c>
      <c r="B181" s="48" t="s">
        <v>660</v>
      </c>
      <c r="C181" s="48" t="s">
        <v>127</v>
      </c>
      <c r="D181" s="48">
        <v>66</v>
      </c>
      <c r="E181" s="48">
        <v>2822</v>
      </c>
      <c r="F181" s="49">
        <f t="shared" si="2"/>
        <v>2.1048901488306169</v>
      </c>
      <c r="G181" s="48">
        <v>4.5</v>
      </c>
      <c r="H181" s="49">
        <f>(Table1[[#This Row],[Points Per 90 Minutes]]/G181)</f>
        <v>0.46775336640680376</v>
      </c>
    </row>
    <row r="182" spans="1:8">
      <c r="A182" s="48" t="s">
        <v>312</v>
      </c>
      <c r="B182" s="48" t="s">
        <v>664</v>
      </c>
      <c r="C182" s="48" t="s">
        <v>129</v>
      </c>
      <c r="D182" s="48">
        <v>66</v>
      </c>
      <c r="E182" s="48">
        <v>2037</v>
      </c>
      <c r="F182" s="49">
        <f t="shared" si="2"/>
        <v>2.9160530191458029</v>
      </c>
      <c r="G182" s="48">
        <v>5</v>
      </c>
      <c r="H182" s="49">
        <f>(Table1[[#This Row],[Points Per 90 Minutes]]/G182)</f>
        <v>0.58321060382916057</v>
      </c>
    </row>
    <row r="183" spans="1:8">
      <c r="A183" s="48" t="s">
        <v>307</v>
      </c>
      <c r="B183" s="48" t="s">
        <v>660</v>
      </c>
      <c r="C183" s="48" t="s">
        <v>129</v>
      </c>
      <c r="D183" s="48">
        <v>66</v>
      </c>
      <c r="E183" s="48">
        <v>2064</v>
      </c>
      <c r="F183" s="49">
        <f t="shared" si="2"/>
        <v>2.8779069767441863</v>
      </c>
      <c r="G183" s="48">
        <v>5.5</v>
      </c>
      <c r="H183" s="49">
        <f>(Table1[[#This Row],[Points Per 90 Minutes]]/G183)</f>
        <v>0.52325581395348841</v>
      </c>
    </row>
    <row r="184" spans="1:8">
      <c r="A184" s="48" t="s">
        <v>314</v>
      </c>
      <c r="B184" s="48" t="s">
        <v>664</v>
      </c>
      <c r="C184" s="48" t="s">
        <v>662</v>
      </c>
      <c r="D184" s="48">
        <v>66</v>
      </c>
      <c r="E184" s="48">
        <v>2034</v>
      </c>
      <c r="F184" s="49">
        <f t="shared" si="2"/>
        <v>2.9203539823008851</v>
      </c>
      <c r="G184" s="48">
        <v>6</v>
      </c>
      <c r="H184" s="49">
        <f>(Table1[[#This Row],[Points Per 90 Minutes]]/G184)</f>
        <v>0.48672566371681419</v>
      </c>
    </row>
    <row r="185" spans="1:8">
      <c r="A185" s="48" t="s">
        <v>300</v>
      </c>
      <c r="B185" s="48" t="s">
        <v>664</v>
      </c>
      <c r="C185" s="48" t="s">
        <v>671</v>
      </c>
      <c r="D185" s="48">
        <v>66</v>
      </c>
      <c r="E185" s="48">
        <v>2082</v>
      </c>
      <c r="F185" s="49">
        <f t="shared" si="2"/>
        <v>2.8530259365994235</v>
      </c>
      <c r="G185" s="48">
        <v>4.5</v>
      </c>
      <c r="H185" s="49">
        <f>(Table1[[#This Row],[Points Per 90 Minutes]]/G185)</f>
        <v>0.63400576368876083</v>
      </c>
    </row>
    <row r="186" spans="1:8">
      <c r="A186" s="48" t="s">
        <v>294</v>
      </c>
      <c r="B186" s="48" t="s">
        <v>664</v>
      </c>
      <c r="C186" s="48" t="s">
        <v>671</v>
      </c>
      <c r="D186" s="48">
        <v>66</v>
      </c>
      <c r="E186" s="48">
        <v>2138</v>
      </c>
      <c r="F186" s="49">
        <f t="shared" si="2"/>
        <v>2.7782974742750235</v>
      </c>
      <c r="G186" s="48">
        <v>4.5</v>
      </c>
      <c r="H186" s="49">
        <f>(Table1[[#This Row],[Points Per 90 Minutes]]/G186)</f>
        <v>0.61739943872778302</v>
      </c>
    </row>
    <row r="187" spans="1:8">
      <c r="A187" s="48" t="s">
        <v>251</v>
      </c>
      <c r="B187" s="48" t="s">
        <v>664</v>
      </c>
      <c r="C187" s="48" t="s">
        <v>126</v>
      </c>
      <c r="D187" s="48">
        <v>65</v>
      </c>
      <c r="E187" s="48">
        <v>2498</v>
      </c>
      <c r="F187" s="49">
        <f t="shared" si="2"/>
        <v>2.3418734987990391</v>
      </c>
      <c r="G187" s="48">
        <v>4.5</v>
      </c>
      <c r="H187" s="49">
        <f>(Table1[[#This Row],[Points Per 90 Minutes]]/G187)</f>
        <v>0.52041633306645307</v>
      </c>
    </row>
    <row r="188" spans="1:8">
      <c r="A188" s="48" t="s">
        <v>435</v>
      </c>
      <c r="B188" s="48" t="s">
        <v>661</v>
      </c>
      <c r="C188" s="48" t="s">
        <v>125</v>
      </c>
      <c r="D188" s="48">
        <v>64</v>
      </c>
      <c r="E188" s="48">
        <v>853</v>
      </c>
      <c r="F188" s="49">
        <f t="shared" si="2"/>
        <v>6.7526377491207494</v>
      </c>
      <c r="G188" s="48">
        <v>7.5</v>
      </c>
      <c r="H188" s="49">
        <f>(Table1[[#This Row],[Points Per 90 Minutes]]/G188)</f>
        <v>0.90035169988276664</v>
      </c>
    </row>
    <row r="189" spans="1:8">
      <c r="A189" s="48" t="s">
        <v>344</v>
      </c>
      <c r="B189" s="48" t="s">
        <v>664</v>
      </c>
      <c r="C189" s="48" t="s">
        <v>669</v>
      </c>
      <c r="D189" s="48">
        <v>64</v>
      </c>
      <c r="E189" s="48">
        <v>1762</v>
      </c>
      <c r="F189" s="49">
        <f t="shared" si="2"/>
        <v>3.2690124858115777</v>
      </c>
      <c r="G189" s="48">
        <v>5.5</v>
      </c>
      <c r="H189" s="49">
        <f>(Table1[[#This Row],[Points Per 90 Minutes]]/G189)</f>
        <v>0.59436590651119592</v>
      </c>
    </row>
    <row r="190" spans="1:8">
      <c r="A190" s="48" t="s">
        <v>313</v>
      </c>
      <c r="B190" s="48" t="s">
        <v>664</v>
      </c>
      <c r="C190" s="48" t="s">
        <v>666</v>
      </c>
      <c r="D190" s="48">
        <v>64</v>
      </c>
      <c r="E190" s="48">
        <v>2036</v>
      </c>
      <c r="F190" s="49">
        <f t="shared" si="2"/>
        <v>2.829076620825147</v>
      </c>
      <c r="G190" s="48">
        <v>4.5</v>
      </c>
      <c r="H190" s="49">
        <f>(Table1[[#This Row],[Points Per 90 Minutes]]/G190)</f>
        <v>0.62868369351669928</v>
      </c>
    </row>
    <row r="191" spans="1:8">
      <c r="A191" s="48" t="s">
        <v>297</v>
      </c>
      <c r="B191" s="48" t="s">
        <v>664</v>
      </c>
      <c r="C191" s="48" t="s">
        <v>671</v>
      </c>
      <c r="D191" s="48">
        <v>63</v>
      </c>
      <c r="E191" s="48">
        <v>2122</v>
      </c>
      <c r="F191" s="49">
        <f t="shared" si="2"/>
        <v>2.6720075400565504</v>
      </c>
      <c r="G191" s="48">
        <v>4.5</v>
      </c>
      <c r="H191" s="49">
        <f>(Table1[[#This Row],[Points Per 90 Minutes]]/G191)</f>
        <v>0.5937794533459001</v>
      </c>
    </row>
    <row r="192" spans="1:8">
      <c r="A192" s="48" t="s">
        <v>319</v>
      </c>
      <c r="B192" s="48" t="s">
        <v>664</v>
      </c>
      <c r="C192" s="48" t="s">
        <v>136</v>
      </c>
      <c r="D192" s="48">
        <v>63</v>
      </c>
      <c r="E192" s="48">
        <v>1992</v>
      </c>
      <c r="F192" s="49">
        <f t="shared" si="2"/>
        <v>2.8463855421686746</v>
      </c>
      <c r="G192" s="48">
        <v>4.5</v>
      </c>
      <c r="H192" s="49">
        <f>(Table1[[#This Row],[Points Per 90 Minutes]]/G192)</f>
        <v>0.63253012048192769</v>
      </c>
    </row>
    <row r="193" spans="1:8">
      <c r="A193" s="48" t="s">
        <v>286</v>
      </c>
      <c r="B193" s="48" t="s">
        <v>664</v>
      </c>
      <c r="C193" s="48" t="s">
        <v>670</v>
      </c>
      <c r="D193" s="48">
        <v>62</v>
      </c>
      <c r="E193" s="48">
        <v>2244</v>
      </c>
      <c r="F193" s="49">
        <f t="shared" si="2"/>
        <v>2.4866310160427809</v>
      </c>
      <c r="G193" s="48">
        <v>4.5</v>
      </c>
      <c r="H193" s="49">
        <f>(Table1[[#This Row],[Points Per 90 Minutes]]/G193)</f>
        <v>0.55258467023172908</v>
      </c>
    </row>
    <row r="194" spans="1:8">
      <c r="A194" s="48" t="s">
        <v>446</v>
      </c>
      <c r="B194" s="48" t="s">
        <v>661</v>
      </c>
      <c r="C194" s="48" t="s">
        <v>662</v>
      </c>
      <c r="D194" s="48">
        <v>62</v>
      </c>
      <c r="E194" s="48">
        <v>784</v>
      </c>
      <c r="F194" s="49">
        <f t="shared" ref="F194:F257" si="3">D194/E194*90</f>
        <v>7.1173469387755102</v>
      </c>
      <c r="G194" s="48">
        <v>7</v>
      </c>
      <c r="H194" s="49">
        <f>(Table1[[#This Row],[Points Per 90 Minutes]]/G194)</f>
        <v>1.0167638483965014</v>
      </c>
    </row>
    <row r="195" spans="1:8">
      <c r="A195" s="48" t="s">
        <v>384</v>
      </c>
      <c r="B195" s="48" t="s">
        <v>660</v>
      </c>
      <c r="C195" s="48" t="s">
        <v>663</v>
      </c>
      <c r="D195" s="48">
        <v>62</v>
      </c>
      <c r="E195" s="48">
        <v>1347</v>
      </c>
      <c r="F195" s="49">
        <f t="shared" si="3"/>
        <v>4.1425389755011137</v>
      </c>
      <c r="G195" s="48">
        <v>6</v>
      </c>
      <c r="H195" s="49">
        <f>(Table1[[#This Row],[Points Per 90 Minutes]]/G195)</f>
        <v>0.69042316258351899</v>
      </c>
    </row>
    <row r="196" spans="1:8">
      <c r="A196" s="48" t="s">
        <v>388</v>
      </c>
      <c r="B196" s="48" t="s">
        <v>661</v>
      </c>
      <c r="C196" s="48" t="s">
        <v>668</v>
      </c>
      <c r="D196" s="48">
        <v>62</v>
      </c>
      <c r="E196" s="48">
        <v>1301</v>
      </c>
      <c r="F196" s="49">
        <f t="shared" si="3"/>
        <v>4.2890084550345886</v>
      </c>
      <c r="G196" s="48">
        <v>5.5</v>
      </c>
      <c r="H196" s="49">
        <f>(Table1[[#This Row],[Points Per 90 Minutes]]/G196)</f>
        <v>0.77981971909719794</v>
      </c>
    </row>
    <row r="197" spans="1:8">
      <c r="A197" s="48" t="s">
        <v>348</v>
      </c>
      <c r="B197" s="48" t="s">
        <v>660</v>
      </c>
      <c r="C197" s="48" t="s">
        <v>665</v>
      </c>
      <c r="D197" s="48">
        <v>62</v>
      </c>
      <c r="E197" s="48">
        <v>1749</v>
      </c>
      <c r="F197" s="49">
        <f t="shared" si="3"/>
        <v>3.1903945111492282</v>
      </c>
      <c r="G197" s="48">
        <v>5.5</v>
      </c>
      <c r="H197" s="49">
        <f>(Table1[[#This Row],[Points Per 90 Minutes]]/G197)</f>
        <v>0.58007172929985973</v>
      </c>
    </row>
    <row r="198" spans="1:8">
      <c r="A198" s="48" t="s">
        <v>424</v>
      </c>
      <c r="B198" s="48" t="s">
        <v>661</v>
      </c>
      <c r="C198" s="48" t="s">
        <v>662</v>
      </c>
      <c r="D198" s="48">
        <v>61</v>
      </c>
      <c r="E198" s="48">
        <v>932</v>
      </c>
      <c r="F198" s="49">
        <f t="shared" si="3"/>
        <v>5.8905579399141637</v>
      </c>
      <c r="G198" s="48">
        <v>7.5</v>
      </c>
      <c r="H198" s="49">
        <f>(Table1[[#This Row],[Points Per 90 Minutes]]/G198)</f>
        <v>0.78540772532188852</v>
      </c>
    </row>
    <row r="199" spans="1:8">
      <c r="A199" s="48" t="s">
        <v>376</v>
      </c>
      <c r="B199" s="48" t="s">
        <v>661</v>
      </c>
      <c r="C199" s="48" t="s">
        <v>136</v>
      </c>
      <c r="D199" s="48">
        <v>61</v>
      </c>
      <c r="E199" s="48">
        <v>1451</v>
      </c>
      <c r="F199" s="49">
        <f t="shared" si="3"/>
        <v>3.7835975189524462</v>
      </c>
      <c r="G199" s="48">
        <v>5.5</v>
      </c>
      <c r="H199" s="49">
        <f>(Table1[[#This Row],[Points Per 90 Minutes]]/G199)</f>
        <v>0.68792682162771746</v>
      </c>
    </row>
    <row r="200" spans="1:8">
      <c r="A200" s="48" t="s">
        <v>250</v>
      </c>
      <c r="B200" s="48" t="s">
        <v>664</v>
      </c>
      <c r="C200" s="48" t="s">
        <v>665</v>
      </c>
      <c r="D200" s="48">
        <v>61</v>
      </c>
      <c r="E200" s="48">
        <v>2502</v>
      </c>
      <c r="F200" s="49">
        <f t="shared" si="3"/>
        <v>2.1942446043165469</v>
      </c>
      <c r="G200" s="48">
        <v>5</v>
      </c>
      <c r="H200" s="49">
        <f>(Table1[[#This Row],[Points Per 90 Minutes]]/G200)</f>
        <v>0.4388489208633094</v>
      </c>
    </row>
    <row r="201" spans="1:8">
      <c r="A201" s="48" t="s">
        <v>318</v>
      </c>
      <c r="B201" s="48" t="s">
        <v>664</v>
      </c>
      <c r="C201" s="48" t="s">
        <v>123</v>
      </c>
      <c r="D201" s="48">
        <v>60</v>
      </c>
      <c r="E201" s="48">
        <v>1992</v>
      </c>
      <c r="F201" s="49">
        <f t="shared" si="3"/>
        <v>2.7108433734939759</v>
      </c>
      <c r="G201" s="48">
        <v>4.5</v>
      </c>
      <c r="H201" s="49">
        <f>(Table1[[#This Row],[Points Per 90 Minutes]]/G201)</f>
        <v>0.60240963855421681</v>
      </c>
    </row>
    <row r="202" spans="1:8">
      <c r="A202" s="48" t="s">
        <v>412</v>
      </c>
      <c r="B202" s="48" t="s">
        <v>660</v>
      </c>
      <c r="C202" s="48" t="s">
        <v>670</v>
      </c>
      <c r="D202" s="48">
        <v>60</v>
      </c>
      <c r="E202" s="48">
        <v>1031</v>
      </c>
      <c r="F202" s="49">
        <f t="shared" si="3"/>
        <v>5.2376333656644034</v>
      </c>
      <c r="G202" s="48">
        <v>5</v>
      </c>
      <c r="H202" s="49">
        <f>(Table1[[#This Row],[Points Per 90 Minutes]]/G202)</f>
        <v>1.0475266731328807</v>
      </c>
    </row>
    <row r="203" spans="1:8">
      <c r="A203" s="48" t="s">
        <v>346</v>
      </c>
      <c r="B203" s="48" t="s">
        <v>664</v>
      </c>
      <c r="C203" s="48" t="s">
        <v>129</v>
      </c>
      <c r="D203" s="48">
        <v>60</v>
      </c>
      <c r="E203" s="48">
        <v>1419</v>
      </c>
      <c r="F203" s="49">
        <f t="shared" si="3"/>
        <v>3.8054968287526427</v>
      </c>
      <c r="G203" s="48">
        <v>5</v>
      </c>
      <c r="H203" s="49">
        <f>(Table1[[#This Row],[Points Per 90 Minutes]]/G203)</f>
        <v>0.7610993657505285</v>
      </c>
    </row>
    <row r="204" spans="1:8">
      <c r="A204" s="48" t="s">
        <v>382</v>
      </c>
      <c r="B204" s="48" t="s">
        <v>664</v>
      </c>
      <c r="C204" s="48" t="s">
        <v>671</v>
      </c>
      <c r="D204" s="48">
        <v>59</v>
      </c>
      <c r="E204" s="48">
        <v>1389</v>
      </c>
      <c r="F204" s="49">
        <f t="shared" si="3"/>
        <v>3.8228941684665227</v>
      </c>
      <c r="G204" s="48">
        <v>4.5</v>
      </c>
      <c r="H204" s="49">
        <f>(Table1[[#This Row],[Points Per 90 Minutes]]/G204)</f>
        <v>0.84953203743700501</v>
      </c>
    </row>
    <row r="205" spans="1:8">
      <c r="A205" s="48" t="s">
        <v>396</v>
      </c>
      <c r="B205" s="48" t="s">
        <v>661</v>
      </c>
      <c r="C205" s="48" t="s">
        <v>671</v>
      </c>
      <c r="D205" s="48">
        <v>59</v>
      </c>
      <c r="E205" s="48">
        <v>1203</v>
      </c>
      <c r="F205" s="49">
        <f t="shared" si="3"/>
        <v>4.4139650872817953</v>
      </c>
      <c r="G205" s="48">
        <v>5.5</v>
      </c>
      <c r="H205" s="49">
        <f>(Table1[[#This Row],[Points Per 90 Minutes]]/G205)</f>
        <v>0.80253910677850826</v>
      </c>
    </row>
    <row r="206" spans="1:8">
      <c r="A206" s="48" t="s">
        <v>316</v>
      </c>
      <c r="B206" s="48" t="s">
        <v>664</v>
      </c>
      <c r="C206" s="48" t="s">
        <v>123</v>
      </c>
      <c r="D206" s="48">
        <v>58</v>
      </c>
      <c r="E206" s="48">
        <v>2010</v>
      </c>
      <c r="F206" s="49">
        <f t="shared" si="3"/>
        <v>2.5970149253731343</v>
      </c>
      <c r="G206" s="48">
        <v>4.5</v>
      </c>
      <c r="H206" s="49">
        <f>(Table1[[#This Row],[Points Per 90 Minutes]]/G206)</f>
        <v>0.57711442786069655</v>
      </c>
    </row>
    <row r="207" spans="1:8">
      <c r="A207" s="48" t="s">
        <v>378</v>
      </c>
      <c r="B207" s="48" t="s">
        <v>660</v>
      </c>
      <c r="C207" s="48" t="s">
        <v>123</v>
      </c>
      <c r="D207" s="48">
        <v>58</v>
      </c>
      <c r="E207" s="48">
        <v>1422</v>
      </c>
      <c r="F207" s="49">
        <f t="shared" si="3"/>
        <v>3.6708860759493667</v>
      </c>
      <c r="G207" s="48">
        <v>5</v>
      </c>
      <c r="H207" s="49">
        <f>(Table1[[#This Row],[Points Per 90 Minutes]]/G207)</f>
        <v>0.73417721518987333</v>
      </c>
    </row>
    <row r="208" spans="1:8">
      <c r="A208" s="48" t="s">
        <v>391</v>
      </c>
      <c r="B208" s="48" t="s">
        <v>660</v>
      </c>
      <c r="C208" s="48" t="s">
        <v>127</v>
      </c>
      <c r="D208" s="48">
        <v>58</v>
      </c>
      <c r="E208" s="48">
        <v>1279</v>
      </c>
      <c r="F208" s="49">
        <f t="shared" si="3"/>
        <v>4.0813135261923374</v>
      </c>
      <c r="G208" s="48">
        <v>5</v>
      </c>
      <c r="H208" s="49">
        <f>(Table1[[#This Row],[Points Per 90 Minutes]]/G208)</f>
        <v>0.81626270523846745</v>
      </c>
    </row>
    <row r="209" spans="1:8">
      <c r="A209" s="48" t="s">
        <v>299</v>
      </c>
      <c r="B209" s="48" t="s">
        <v>664</v>
      </c>
      <c r="C209" s="48" t="s">
        <v>672</v>
      </c>
      <c r="D209" s="48">
        <v>58</v>
      </c>
      <c r="E209" s="48">
        <v>2107</v>
      </c>
      <c r="F209" s="49">
        <f t="shared" si="3"/>
        <v>2.477456098718557</v>
      </c>
      <c r="G209" s="48">
        <v>4.5</v>
      </c>
      <c r="H209" s="49">
        <f>(Table1[[#This Row],[Points Per 90 Minutes]]/G209)</f>
        <v>0.55054579971523487</v>
      </c>
    </row>
    <row r="210" spans="1:8">
      <c r="A210" s="48" t="s">
        <v>260</v>
      </c>
      <c r="B210" s="48" t="s">
        <v>664</v>
      </c>
      <c r="C210" s="48" t="s">
        <v>672</v>
      </c>
      <c r="D210" s="48">
        <v>58</v>
      </c>
      <c r="E210" s="48">
        <v>2419</v>
      </c>
      <c r="F210" s="49">
        <f t="shared" si="3"/>
        <v>2.1579164944191813</v>
      </c>
      <c r="G210" s="48">
        <v>4.5</v>
      </c>
      <c r="H210" s="49">
        <f>(Table1[[#This Row],[Points Per 90 Minutes]]/G210)</f>
        <v>0.47953699875981809</v>
      </c>
    </row>
    <row r="211" spans="1:8">
      <c r="A211" s="48" t="s">
        <v>270</v>
      </c>
      <c r="B211" s="48" t="s">
        <v>660</v>
      </c>
      <c r="C211" s="48" t="s">
        <v>136</v>
      </c>
      <c r="D211" s="48">
        <v>58</v>
      </c>
      <c r="E211" s="48">
        <v>2357</v>
      </c>
      <c r="F211" s="49">
        <f t="shared" si="3"/>
        <v>2.2146796775562154</v>
      </c>
      <c r="G211" s="48">
        <v>4.5</v>
      </c>
      <c r="H211" s="49">
        <f>(Table1[[#This Row],[Points Per 90 Minutes]]/G211)</f>
        <v>0.49215103945693678</v>
      </c>
    </row>
    <row r="212" spans="1:8">
      <c r="A212" s="48" t="s">
        <v>368</v>
      </c>
      <c r="B212" s="48" t="s">
        <v>660</v>
      </c>
      <c r="C212" s="48" t="s">
        <v>121</v>
      </c>
      <c r="D212" s="48">
        <v>57</v>
      </c>
      <c r="E212" s="48">
        <v>1491</v>
      </c>
      <c r="F212" s="49">
        <f t="shared" si="3"/>
        <v>3.4406438631790746</v>
      </c>
      <c r="G212" s="48">
        <v>6</v>
      </c>
      <c r="H212" s="49">
        <f>(Table1[[#This Row],[Points Per 90 Minutes]]/G212)</f>
        <v>0.57344064386317906</v>
      </c>
    </row>
    <row r="213" spans="1:8">
      <c r="A213" s="48" t="s">
        <v>258</v>
      </c>
      <c r="B213" s="48" t="s">
        <v>664</v>
      </c>
      <c r="C213" s="48" t="s">
        <v>126</v>
      </c>
      <c r="D213" s="48">
        <v>57</v>
      </c>
      <c r="E213" s="48">
        <v>2433</v>
      </c>
      <c r="F213" s="49">
        <f t="shared" si="3"/>
        <v>2.1085080147965476</v>
      </c>
      <c r="G213" s="48">
        <v>4.5</v>
      </c>
      <c r="H213" s="49">
        <f>(Table1[[#This Row],[Points Per 90 Minutes]]/G213)</f>
        <v>0.46855733662145505</v>
      </c>
    </row>
    <row r="214" spans="1:8">
      <c r="A214" s="48" t="s">
        <v>383</v>
      </c>
      <c r="B214" s="48" t="s">
        <v>660</v>
      </c>
      <c r="C214" s="48" t="s">
        <v>670</v>
      </c>
      <c r="D214" s="48">
        <v>57</v>
      </c>
      <c r="E214" s="48">
        <v>1376</v>
      </c>
      <c r="F214" s="49">
        <f t="shared" si="3"/>
        <v>3.7281976744186043</v>
      </c>
      <c r="G214" s="48">
        <v>4.5</v>
      </c>
      <c r="H214" s="49">
        <f>(Table1[[#This Row],[Points Per 90 Minutes]]/G214)</f>
        <v>0.82848837209302317</v>
      </c>
    </row>
    <row r="215" spans="1:8">
      <c r="A215" s="48" t="s">
        <v>375</v>
      </c>
      <c r="B215" s="48" t="s">
        <v>660</v>
      </c>
      <c r="C215" s="48" t="s">
        <v>669</v>
      </c>
      <c r="D215" s="48">
        <v>57</v>
      </c>
      <c r="E215" s="48">
        <v>1457</v>
      </c>
      <c r="F215" s="49">
        <f t="shared" si="3"/>
        <v>3.5209334248455728</v>
      </c>
      <c r="G215" s="48">
        <v>5</v>
      </c>
      <c r="H215" s="49">
        <f>(Table1[[#This Row],[Points Per 90 Minutes]]/G215)</f>
        <v>0.70418668496911452</v>
      </c>
    </row>
    <row r="216" spans="1:8">
      <c r="A216" s="48" t="s">
        <v>360</v>
      </c>
      <c r="B216" s="48" t="s">
        <v>660</v>
      </c>
      <c r="C216" s="48" t="s">
        <v>673</v>
      </c>
      <c r="D216" s="48">
        <v>57</v>
      </c>
      <c r="E216" s="48">
        <v>1587</v>
      </c>
      <c r="F216" s="49">
        <f t="shared" si="3"/>
        <v>3.232514177693762</v>
      </c>
      <c r="G216" s="48">
        <v>5</v>
      </c>
      <c r="H216" s="49">
        <f>(Table1[[#This Row],[Points Per 90 Minutes]]/G216)</f>
        <v>0.64650283553875243</v>
      </c>
    </row>
    <row r="217" spans="1:8">
      <c r="A217" s="48" t="s">
        <v>411</v>
      </c>
      <c r="B217" s="48" t="s">
        <v>661</v>
      </c>
      <c r="C217" s="48" t="s">
        <v>668</v>
      </c>
      <c r="D217" s="48">
        <v>57</v>
      </c>
      <c r="E217" s="48">
        <v>1035</v>
      </c>
      <c r="F217" s="49">
        <f t="shared" si="3"/>
        <v>4.9565217391304346</v>
      </c>
      <c r="G217" s="48">
        <v>5</v>
      </c>
      <c r="H217" s="49">
        <f>(Table1[[#This Row],[Points Per 90 Minutes]]/G217)</f>
        <v>0.9913043478260869</v>
      </c>
    </row>
    <row r="218" spans="1:8">
      <c r="A218" s="48" t="s">
        <v>356</v>
      </c>
      <c r="B218" s="48" t="s">
        <v>664</v>
      </c>
      <c r="C218" s="48" t="s">
        <v>123</v>
      </c>
      <c r="D218" s="48">
        <v>56</v>
      </c>
      <c r="E218" s="48">
        <v>1647</v>
      </c>
      <c r="F218" s="49">
        <f t="shared" si="3"/>
        <v>3.0601092896174862</v>
      </c>
      <c r="G218" s="48">
        <v>4.5</v>
      </c>
      <c r="H218" s="49">
        <f>(Table1[[#This Row],[Points Per 90 Minutes]]/G218)</f>
        <v>0.68002428658166358</v>
      </c>
    </row>
    <row r="219" spans="1:8">
      <c r="A219" s="48" t="s">
        <v>283</v>
      </c>
      <c r="B219" s="48" t="s">
        <v>660</v>
      </c>
      <c r="C219" s="48" t="s">
        <v>671</v>
      </c>
      <c r="D219" s="48">
        <v>56</v>
      </c>
      <c r="E219" s="48">
        <v>2258</v>
      </c>
      <c r="F219" s="49">
        <f t="shared" si="3"/>
        <v>2.2320637732506645</v>
      </c>
      <c r="G219" s="48">
        <v>4.5</v>
      </c>
      <c r="H219" s="49">
        <f>(Table1[[#This Row],[Points Per 90 Minutes]]/G219)</f>
        <v>0.49601417183348101</v>
      </c>
    </row>
    <row r="220" spans="1:8">
      <c r="A220" s="48" t="s">
        <v>421</v>
      </c>
      <c r="B220" s="48" t="s">
        <v>667</v>
      </c>
      <c r="C220" s="48" t="s">
        <v>668</v>
      </c>
      <c r="D220" s="48">
        <v>56</v>
      </c>
      <c r="E220" s="48">
        <v>935</v>
      </c>
      <c r="F220" s="49">
        <f t="shared" si="3"/>
        <v>5.3903743315508024</v>
      </c>
      <c r="G220" s="48">
        <v>4.5</v>
      </c>
      <c r="H220" s="49">
        <f>(Table1[[#This Row],[Points Per 90 Minutes]]/G220)</f>
        <v>1.197860962566845</v>
      </c>
    </row>
    <row r="221" spans="1:8">
      <c r="A221" s="48" t="s">
        <v>414</v>
      </c>
      <c r="B221" s="48" t="s">
        <v>661</v>
      </c>
      <c r="C221" s="48" t="s">
        <v>665</v>
      </c>
      <c r="D221" s="48">
        <v>56</v>
      </c>
      <c r="E221" s="48">
        <v>1024</v>
      </c>
      <c r="F221" s="49">
        <f t="shared" si="3"/>
        <v>4.921875</v>
      </c>
      <c r="G221" s="48">
        <v>6.5</v>
      </c>
      <c r="H221" s="49">
        <f>(Table1[[#This Row],[Points Per 90 Minutes]]/G221)</f>
        <v>0.75721153846153844</v>
      </c>
    </row>
    <row r="222" spans="1:8">
      <c r="A222" s="48" t="s">
        <v>293</v>
      </c>
      <c r="B222" s="48" t="s">
        <v>660</v>
      </c>
      <c r="C222" s="48" t="s">
        <v>123</v>
      </c>
      <c r="D222" s="48">
        <v>55</v>
      </c>
      <c r="E222" s="48">
        <v>2149</v>
      </c>
      <c r="F222" s="49">
        <f t="shared" si="3"/>
        <v>2.3033969288040947</v>
      </c>
      <c r="G222" s="48">
        <v>4.5</v>
      </c>
      <c r="H222" s="49">
        <f>(Table1[[#This Row],[Points Per 90 Minutes]]/G222)</f>
        <v>0.51186598417868767</v>
      </c>
    </row>
    <row r="223" spans="1:8">
      <c r="A223" s="48" t="s">
        <v>406</v>
      </c>
      <c r="B223" s="48" t="s">
        <v>660</v>
      </c>
      <c r="C223" s="48" t="s">
        <v>125</v>
      </c>
      <c r="D223" s="48">
        <v>55</v>
      </c>
      <c r="E223" s="48">
        <v>1107</v>
      </c>
      <c r="F223" s="49">
        <f t="shared" si="3"/>
        <v>4.4715447154471546</v>
      </c>
      <c r="G223" s="48">
        <v>5.5</v>
      </c>
      <c r="H223" s="49">
        <f>(Table1[[#This Row],[Points Per 90 Minutes]]/G223)</f>
        <v>0.81300813008130079</v>
      </c>
    </row>
    <row r="224" spans="1:8">
      <c r="A224" s="48" t="s">
        <v>398</v>
      </c>
      <c r="B224" s="48" t="s">
        <v>664</v>
      </c>
      <c r="C224" s="48" t="s">
        <v>670</v>
      </c>
      <c r="D224" s="48">
        <v>55</v>
      </c>
      <c r="E224" s="48">
        <v>1182</v>
      </c>
      <c r="F224" s="49">
        <f t="shared" si="3"/>
        <v>4.187817258883249</v>
      </c>
      <c r="G224" s="48">
        <v>4.5</v>
      </c>
      <c r="H224" s="49">
        <f>(Table1[[#This Row],[Points Per 90 Minutes]]/G224)</f>
        <v>0.93062605752961092</v>
      </c>
    </row>
    <row r="225" spans="1:8">
      <c r="A225" s="48" t="s">
        <v>373</v>
      </c>
      <c r="B225" s="48" t="s">
        <v>660</v>
      </c>
      <c r="C225" s="48" t="s">
        <v>129</v>
      </c>
      <c r="D225" s="48">
        <v>55</v>
      </c>
      <c r="E225" s="48">
        <v>1470</v>
      </c>
      <c r="F225" s="49">
        <f t="shared" si="3"/>
        <v>3.3673469387755102</v>
      </c>
      <c r="G225" s="48">
        <v>5</v>
      </c>
      <c r="H225" s="49">
        <f>(Table1[[#This Row],[Points Per 90 Minutes]]/G225)</f>
        <v>0.67346938775510201</v>
      </c>
    </row>
    <row r="226" spans="1:8">
      <c r="A226" s="48" t="s">
        <v>288</v>
      </c>
      <c r="B226" s="48" t="s">
        <v>660</v>
      </c>
      <c r="C226" s="48" t="s">
        <v>663</v>
      </c>
      <c r="D226" s="48">
        <v>55</v>
      </c>
      <c r="E226" s="48">
        <v>2193</v>
      </c>
      <c r="F226" s="49">
        <f t="shared" si="3"/>
        <v>2.2571819425444595</v>
      </c>
      <c r="G226" s="48">
        <v>4.5</v>
      </c>
      <c r="H226" s="49">
        <f>(Table1[[#This Row],[Points Per 90 Minutes]]/G226)</f>
        <v>0.50159598723210208</v>
      </c>
    </row>
    <row r="227" spans="1:8">
      <c r="A227" s="48" t="s">
        <v>371</v>
      </c>
      <c r="B227" s="48" t="s">
        <v>660</v>
      </c>
      <c r="C227" s="48" t="s">
        <v>136</v>
      </c>
      <c r="D227" s="48">
        <v>55</v>
      </c>
      <c r="E227" s="48">
        <v>1483</v>
      </c>
      <c r="F227" s="49">
        <f t="shared" si="3"/>
        <v>3.3378287255563044</v>
      </c>
      <c r="G227" s="48">
        <v>5</v>
      </c>
      <c r="H227" s="49">
        <f>(Table1[[#This Row],[Points Per 90 Minutes]]/G227)</f>
        <v>0.66756574511126088</v>
      </c>
    </row>
    <row r="228" spans="1:8">
      <c r="A228" s="48" t="s">
        <v>341</v>
      </c>
      <c r="B228" s="48" t="s">
        <v>660</v>
      </c>
      <c r="C228" s="48" t="s">
        <v>668</v>
      </c>
      <c r="D228" s="48">
        <v>55</v>
      </c>
      <c r="E228" s="48">
        <v>1719</v>
      </c>
      <c r="F228" s="49">
        <f t="shared" si="3"/>
        <v>2.8795811518324608</v>
      </c>
      <c r="G228" s="48">
        <v>4.5</v>
      </c>
      <c r="H228" s="49">
        <f>(Table1[[#This Row],[Points Per 90 Minutes]]/G228)</f>
        <v>0.63990692262943571</v>
      </c>
    </row>
    <row r="229" spans="1:8">
      <c r="A229" s="48" t="s">
        <v>330</v>
      </c>
      <c r="B229" s="48" t="s">
        <v>664</v>
      </c>
      <c r="C229" s="48" t="s">
        <v>665</v>
      </c>
      <c r="D229" s="48">
        <v>54</v>
      </c>
      <c r="E229" s="48">
        <v>1881</v>
      </c>
      <c r="F229" s="49">
        <f t="shared" si="3"/>
        <v>2.5837320574162681</v>
      </c>
      <c r="G229" s="48">
        <v>4.5</v>
      </c>
      <c r="H229" s="49">
        <f>(Table1[[#This Row],[Points Per 90 Minutes]]/G229)</f>
        <v>0.57416267942583732</v>
      </c>
    </row>
    <row r="230" spans="1:8">
      <c r="A230" s="48" t="s">
        <v>397</v>
      </c>
      <c r="B230" s="48" t="s">
        <v>660</v>
      </c>
      <c r="C230" s="48" t="s">
        <v>665</v>
      </c>
      <c r="D230" s="48">
        <v>54</v>
      </c>
      <c r="E230" s="48">
        <v>1184</v>
      </c>
      <c r="F230" s="49">
        <f t="shared" si="3"/>
        <v>4.1047297297297298</v>
      </c>
      <c r="G230" s="48">
        <v>5</v>
      </c>
      <c r="H230" s="49">
        <f>(Table1[[#This Row],[Points Per 90 Minutes]]/G230)</f>
        <v>0.82094594594594594</v>
      </c>
    </row>
    <row r="231" spans="1:8">
      <c r="A231" s="48" t="s">
        <v>409</v>
      </c>
      <c r="B231" s="48" t="s">
        <v>664</v>
      </c>
      <c r="C231" s="48" t="s">
        <v>669</v>
      </c>
      <c r="D231" s="48">
        <v>53</v>
      </c>
      <c r="E231" s="48">
        <v>1090</v>
      </c>
      <c r="F231" s="49">
        <f t="shared" si="3"/>
        <v>4.3761467889908259</v>
      </c>
      <c r="G231" s="48">
        <v>5</v>
      </c>
      <c r="H231" s="49">
        <f>(Table1[[#This Row],[Points Per 90 Minutes]]/G231)</f>
        <v>0.87522935779816513</v>
      </c>
    </row>
    <row r="232" spans="1:8">
      <c r="A232" s="48" t="s">
        <v>208</v>
      </c>
      <c r="B232" s="48" t="s">
        <v>660</v>
      </c>
      <c r="C232" s="48" t="s">
        <v>123</v>
      </c>
      <c r="D232" s="48">
        <v>52</v>
      </c>
      <c r="E232" s="48">
        <v>1988</v>
      </c>
      <c r="F232" s="49">
        <f t="shared" si="3"/>
        <v>2.3541247484909458</v>
      </c>
      <c r="G232" s="48">
        <v>4.5</v>
      </c>
      <c r="H232" s="49">
        <f>(Table1[[#This Row],[Points Per 90 Minutes]]/G232)</f>
        <v>0.52313883299798791</v>
      </c>
    </row>
    <row r="233" spans="1:8">
      <c r="A233" s="48" t="s">
        <v>374</v>
      </c>
      <c r="B233" s="48" t="s">
        <v>660</v>
      </c>
      <c r="C233" s="48" t="s">
        <v>121</v>
      </c>
      <c r="D233" s="48">
        <v>51</v>
      </c>
      <c r="E233" s="48">
        <v>1461</v>
      </c>
      <c r="F233" s="49">
        <f t="shared" si="3"/>
        <v>3.1416837782340861</v>
      </c>
      <c r="G233" s="48">
        <v>4.5</v>
      </c>
      <c r="H233" s="49">
        <f>(Table1[[#This Row],[Points Per 90 Minutes]]/G233)</f>
        <v>0.69815195071868574</v>
      </c>
    </row>
    <row r="234" spans="1:8">
      <c r="A234" s="48" t="s">
        <v>487</v>
      </c>
      <c r="B234" s="48" t="s">
        <v>660</v>
      </c>
      <c r="C234" s="48" t="s">
        <v>121</v>
      </c>
      <c r="D234" s="48">
        <v>51</v>
      </c>
      <c r="E234" s="48">
        <v>447</v>
      </c>
      <c r="F234" s="49">
        <f t="shared" si="3"/>
        <v>10.268456375838927</v>
      </c>
      <c r="G234" s="48">
        <v>9</v>
      </c>
      <c r="H234" s="49">
        <f>(Table1[[#This Row],[Points Per 90 Minutes]]/G234)</f>
        <v>1.1409395973154364</v>
      </c>
    </row>
    <row r="235" spans="1:8">
      <c r="A235" s="48" t="s">
        <v>400</v>
      </c>
      <c r="B235" s="48" t="s">
        <v>661</v>
      </c>
      <c r="C235" s="48" t="s">
        <v>126</v>
      </c>
      <c r="D235" s="48">
        <v>51</v>
      </c>
      <c r="E235" s="48">
        <v>1174</v>
      </c>
      <c r="F235" s="49">
        <f t="shared" si="3"/>
        <v>3.909710391822828</v>
      </c>
      <c r="G235" s="48">
        <v>5.5</v>
      </c>
      <c r="H235" s="49">
        <f>(Table1[[#This Row],[Points Per 90 Minutes]]/G235)</f>
        <v>0.71085643487687777</v>
      </c>
    </row>
    <row r="236" spans="1:8">
      <c r="A236" s="48" t="s">
        <v>438</v>
      </c>
      <c r="B236" s="48" t="s">
        <v>661</v>
      </c>
      <c r="C236" s="48" t="s">
        <v>129</v>
      </c>
      <c r="D236" s="48">
        <v>50</v>
      </c>
      <c r="E236" s="48">
        <v>839</v>
      </c>
      <c r="F236" s="49">
        <f t="shared" si="3"/>
        <v>5.3635280095351607</v>
      </c>
      <c r="G236" s="48">
        <v>6</v>
      </c>
      <c r="H236" s="49">
        <f>(Table1[[#This Row],[Points Per 90 Minutes]]/G236)</f>
        <v>0.89392133492252679</v>
      </c>
    </row>
    <row r="237" spans="1:8">
      <c r="A237" s="48" t="s">
        <v>343</v>
      </c>
      <c r="B237" s="48" t="s">
        <v>664</v>
      </c>
      <c r="C237" s="48" t="s">
        <v>663</v>
      </c>
      <c r="D237" s="48">
        <v>50</v>
      </c>
      <c r="E237" s="48">
        <v>1776</v>
      </c>
      <c r="F237" s="49">
        <f t="shared" si="3"/>
        <v>2.5337837837837838</v>
      </c>
      <c r="G237" s="48">
        <v>5</v>
      </c>
      <c r="H237" s="49">
        <f>(Table1[[#This Row],[Points Per 90 Minutes]]/G237)</f>
        <v>0.5067567567567568</v>
      </c>
    </row>
    <row r="238" spans="1:8">
      <c r="A238" s="48" t="s">
        <v>328</v>
      </c>
      <c r="B238" s="48" t="s">
        <v>660</v>
      </c>
      <c r="C238" s="48" t="s">
        <v>670</v>
      </c>
      <c r="D238" s="48">
        <v>49</v>
      </c>
      <c r="E238" s="48">
        <v>1895</v>
      </c>
      <c r="F238" s="49">
        <f t="shared" si="3"/>
        <v>2.3271767810026387</v>
      </c>
      <c r="G238" s="48">
        <v>4.5</v>
      </c>
      <c r="H238" s="49">
        <f>(Table1[[#This Row],[Points Per 90 Minutes]]/G238)</f>
        <v>0.51715039577836419</v>
      </c>
    </row>
    <row r="239" spans="1:8">
      <c r="A239" s="48" t="s">
        <v>404</v>
      </c>
      <c r="B239" s="48" t="s">
        <v>660</v>
      </c>
      <c r="C239" s="48" t="s">
        <v>663</v>
      </c>
      <c r="D239" s="48">
        <v>49</v>
      </c>
      <c r="E239" s="48">
        <v>1146</v>
      </c>
      <c r="F239" s="49">
        <f t="shared" si="3"/>
        <v>3.8481675392670156</v>
      </c>
      <c r="G239" s="48">
        <v>5.5</v>
      </c>
      <c r="H239" s="49">
        <f>(Table1[[#This Row],[Points Per 90 Minutes]]/G239)</f>
        <v>0.69966682532127555</v>
      </c>
    </row>
    <row r="240" spans="1:8">
      <c r="A240" s="48" t="s">
        <v>417</v>
      </c>
      <c r="B240" s="48" t="s">
        <v>664</v>
      </c>
      <c r="C240" s="48" t="s">
        <v>123</v>
      </c>
      <c r="D240" s="48">
        <v>48</v>
      </c>
      <c r="E240" s="48">
        <v>983</v>
      </c>
      <c r="F240" s="49">
        <f t="shared" si="3"/>
        <v>4.3947100712105795</v>
      </c>
      <c r="G240" s="48">
        <v>5</v>
      </c>
      <c r="H240" s="49">
        <f>(Table1[[#This Row],[Points Per 90 Minutes]]/G240)</f>
        <v>0.87894201424211593</v>
      </c>
    </row>
    <row r="241" spans="1:8">
      <c r="A241" s="48" t="s">
        <v>367</v>
      </c>
      <c r="B241" s="48" t="s">
        <v>667</v>
      </c>
      <c r="C241" s="48" t="s">
        <v>121</v>
      </c>
      <c r="D241" s="48">
        <v>47</v>
      </c>
      <c r="E241" s="48">
        <v>1498</v>
      </c>
      <c r="F241" s="49">
        <f t="shared" si="3"/>
        <v>2.8237650200267024</v>
      </c>
      <c r="G241" s="48">
        <v>5</v>
      </c>
      <c r="H241" s="49">
        <f>(Table1[[#This Row],[Points Per 90 Minutes]]/G241)</f>
        <v>0.56475300400534045</v>
      </c>
    </row>
    <row r="242" spans="1:8">
      <c r="A242" s="48" t="s">
        <v>422</v>
      </c>
      <c r="B242" s="48" t="s">
        <v>660</v>
      </c>
      <c r="C242" s="48" t="s">
        <v>129</v>
      </c>
      <c r="D242" s="48">
        <v>47</v>
      </c>
      <c r="E242" s="48">
        <v>934</v>
      </c>
      <c r="F242" s="49">
        <f t="shared" si="3"/>
        <v>4.5289079229122056</v>
      </c>
      <c r="G242" s="48">
        <v>6</v>
      </c>
      <c r="H242" s="49">
        <f>(Table1[[#This Row],[Points Per 90 Minutes]]/G242)</f>
        <v>0.7548179871520343</v>
      </c>
    </row>
    <row r="243" spans="1:8">
      <c r="A243" s="48" t="s">
        <v>450</v>
      </c>
      <c r="B243" s="48" t="s">
        <v>661</v>
      </c>
      <c r="C243" s="48" t="s">
        <v>129</v>
      </c>
      <c r="D243" s="48">
        <v>46</v>
      </c>
      <c r="E243" s="48">
        <v>752</v>
      </c>
      <c r="F243" s="49">
        <f t="shared" si="3"/>
        <v>5.5053191489361701</v>
      </c>
      <c r="G243" s="48">
        <v>10.5</v>
      </c>
      <c r="H243" s="49">
        <f>(Table1[[#This Row],[Points Per 90 Minutes]]/G243)</f>
        <v>0.5243161094224924</v>
      </c>
    </row>
    <row r="244" spans="1:8">
      <c r="A244" s="48" t="s">
        <v>395</v>
      </c>
      <c r="B244" s="48" t="s">
        <v>661</v>
      </c>
      <c r="C244" s="48" t="s">
        <v>672</v>
      </c>
      <c r="D244" s="48">
        <v>46</v>
      </c>
      <c r="E244" s="48">
        <v>1209</v>
      </c>
      <c r="F244" s="49">
        <f t="shared" si="3"/>
        <v>3.4243176178660049</v>
      </c>
      <c r="G244" s="48">
        <v>5.5</v>
      </c>
      <c r="H244" s="49">
        <f>(Table1[[#This Row],[Points Per 90 Minutes]]/G244)</f>
        <v>0.62260320324836449</v>
      </c>
    </row>
    <row r="245" spans="1:8">
      <c r="A245" s="48" t="s">
        <v>353</v>
      </c>
      <c r="B245" s="48" t="s">
        <v>660</v>
      </c>
      <c r="C245" s="48" t="s">
        <v>121</v>
      </c>
      <c r="D245" s="48">
        <v>45</v>
      </c>
      <c r="E245" s="48">
        <v>1661</v>
      </c>
      <c r="F245" s="49">
        <f t="shared" si="3"/>
        <v>2.4382901866345574</v>
      </c>
      <c r="G245" s="48">
        <v>4.5</v>
      </c>
      <c r="H245" s="49">
        <f>(Table1[[#This Row],[Points Per 90 Minutes]]/G245)</f>
        <v>0.54184226369656829</v>
      </c>
    </row>
    <row r="246" spans="1:8">
      <c r="A246" s="48" t="s">
        <v>403</v>
      </c>
      <c r="B246" s="48" t="s">
        <v>661</v>
      </c>
      <c r="C246" s="48" t="s">
        <v>126</v>
      </c>
      <c r="D246" s="48">
        <v>45</v>
      </c>
      <c r="E246" s="48">
        <v>1149</v>
      </c>
      <c r="F246" s="49">
        <f t="shared" si="3"/>
        <v>3.524804177545692</v>
      </c>
      <c r="G246" s="48">
        <v>5</v>
      </c>
      <c r="H246" s="49">
        <f>(Table1[[#This Row],[Points Per 90 Minutes]]/G246)</f>
        <v>0.70496083550913835</v>
      </c>
    </row>
    <row r="247" spans="1:8">
      <c r="A247" s="48" t="s">
        <v>431</v>
      </c>
      <c r="B247" s="48" t="s">
        <v>660</v>
      </c>
      <c r="C247" s="48" t="s">
        <v>127</v>
      </c>
      <c r="D247" s="48">
        <v>44</v>
      </c>
      <c r="E247" s="48">
        <v>884</v>
      </c>
      <c r="F247" s="49">
        <f t="shared" si="3"/>
        <v>4.4796380090497738</v>
      </c>
      <c r="G247" s="48">
        <v>5</v>
      </c>
      <c r="H247" s="49">
        <f>(Table1[[#This Row],[Points Per 90 Minutes]]/G247)</f>
        <v>0.89592760180995479</v>
      </c>
    </row>
    <row r="248" spans="1:8">
      <c r="A248" s="48" t="s">
        <v>329</v>
      </c>
      <c r="B248" s="48" t="s">
        <v>664</v>
      </c>
      <c r="C248" s="48" t="s">
        <v>670</v>
      </c>
      <c r="D248" s="48">
        <v>44</v>
      </c>
      <c r="E248" s="48">
        <v>1883</v>
      </c>
      <c r="F248" s="49">
        <f t="shared" si="3"/>
        <v>2.1030270844397241</v>
      </c>
      <c r="G248" s="48">
        <v>4.5</v>
      </c>
      <c r="H248" s="49">
        <f>(Table1[[#This Row],[Points Per 90 Minutes]]/G248)</f>
        <v>0.46733935209771649</v>
      </c>
    </row>
    <row r="249" spans="1:8">
      <c r="A249" s="48" t="s">
        <v>407</v>
      </c>
      <c r="B249" s="48" t="s">
        <v>664</v>
      </c>
      <c r="C249" s="48" t="s">
        <v>672</v>
      </c>
      <c r="D249" s="48">
        <v>44</v>
      </c>
      <c r="E249" s="48">
        <v>1101</v>
      </c>
      <c r="F249" s="49">
        <f t="shared" si="3"/>
        <v>3.5967302452316074</v>
      </c>
      <c r="G249" s="48">
        <v>4.5</v>
      </c>
      <c r="H249" s="49">
        <f>(Table1[[#This Row],[Points Per 90 Minutes]]/G249)</f>
        <v>0.79927338782924606</v>
      </c>
    </row>
    <row r="250" spans="1:8">
      <c r="A250" s="48" t="s">
        <v>451</v>
      </c>
      <c r="B250" s="48" t="s">
        <v>660</v>
      </c>
      <c r="C250" s="48" t="s">
        <v>663</v>
      </c>
      <c r="D250" s="48">
        <v>44</v>
      </c>
      <c r="E250" s="48">
        <v>749</v>
      </c>
      <c r="F250" s="49">
        <f t="shared" si="3"/>
        <v>5.2870493991989314</v>
      </c>
      <c r="G250" s="48">
        <v>6</v>
      </c>
      <c r="H250" s="49">
        <f>(Table1[[#This Row],[Points Per 90 Minutes]]/G250)</f>
        <v>0.88117489986648856</v>
      </c>
    </row>
    <row r="251" spans="1:8">
      <c r="A251" s="48" t="s">
        <v>333</v>
      </c>
      <c r="B251" s="48" t="s">
        <v>664</v>
      </c>
      <c r="C251" s="48" t="s">
        <v>136</v>
      </c>
      <c r="D251" s="48">
        <v>44</v>
      </c>
      <c r="E251" s="48">
        <v>1255</v>
      </c>
      <c r="F251" s="49">
        <f t="shared" si="3"/>
        <v>3.1553784860557772</v>
      </c>
      <c r="G251" s="48">
        <v>4.5</v>
      </c>
      <c r="H251" s="49">
        <f>(Table1[[#This Row],[Points Per 90 Minutes]]/G251)</f>
        <v>0.70119521912350602</v>
      </c>
    </row>
    <row r="252" spans="1:8">
      <c r="A252" s="48" t="s">
        <v>401</v>
      </c>
      <c r="B252" s="48" t="s">
        <v>664</v>
      </c>
      <c r="C252" s="48" t="s">
        <v>126</v>
      </c>
      <c r="D252" s="48">
        <v>42</v>
      </c>
      <c r="E252" s="48">
        <v>1173</v>
      </c>
      <c r="F252" s="49">
        <f t="shared" si="3"/>
        <v>3.2225063938618925</v>
      </c>
      <c r="G252" s="48">
        <v>4.5</v>
      </c>
      <c r="H252" s="49">
        <f>(Table1[[#This Row],[Points Per 90 Minutes]]/G252)</f>
        <v>0.71611253196930946</v>
      </c>
    </row>
    <row r="253" spans="1:8">
      <c r="A253" s="48" t="s">
        <v>394</v>
      </c>
      <c r="B253" s="48" t="s">
        <v>664</v>
      </c>
      <c r="C253" s="48" t="s">
        <v>668</v>
      </c>
      <c r="D253" s="48">
        <v>41</v>
      </c>
      <c r="E253" s="48">
        <v>1211</v>
      </c>
      <c r="F253" s="49">
        <f t="shared" si="3"/>
        <v>3.0470685383980181</v>
      </c>
      <c r="G253" s="48">
        <v>4.5</v>
      </c>
      <c r="H253" s="49">
        <f>(Table1[[#This Row],[Points Per 90 Minutes]]/G253)</f>
        <v>0.67712634186622622</v>
      </c>
    </row>
    <row r="254" spans="1:8">
      <c r="A254" s="48" t="s">
        <v>385</v>
      </c>
      <c r="B254" s="48" t="s">
        <v>664</v>
      </c>
      <c r="C254" s="48" t="s">
        <v>123</v>
      </c>
      <c r="D254" s="48">
        <v>40</v>
      </c>
      <c r="E254" s="48">
        <v>1344</v>
      </c>
      <c r="F254" s="49">
        <f t="shared" si="3"/>
        <v>2.6785714285714284</v>
      </c>
      <c r="G254" s="48">
        <v>4.5</v>
      </c>
      <c r="H254" s="49">
        <f>(Table1[[#This Row],[Points Per 90 Minutes]]/G254)</f>
        <v>0.59523809523809523</v>
      </c>
    </row>
    <row r="255" spans="1:8">
      <c r="A255" s="48" t="s">
        <v>462</v>
      </c>
      <c r="B255" s="48" t="s">
        <v>664</v>
      </c>
      <c r="C255" s="48" t="s">
        <v>125</v>
      </c>
      <c r="D255" s="48">
        <v>40</v>
      </c>
      <c r="E255" s="48">
        <v>647</v>
      </c>
      <c r="F255" s="49">
        <f t="shared" si="3"/>
        <v>5.564142194744977</v>
      </c>
      <c r="G255" s="48">
        <v>5.5</v>
      </c>
      <c r="H255" s="49">
        <f>(Table1[[#This Row],[Points Per 90 Minutes]]/G255)</f>
        <v>1.0116622172263594</v>
      </c>
    </row>
    <row r="256" spans="1:8">
      <c r="A256" s="48" t="s">
        <v>442</v>
      </c>
      <c r="B256" s="48" t="s">
        <v>661</v>
      </c>
      <c r="C256" s="48" t="s">
        <v>663</v>
      </c>
      <c r="D256" s="48">
        <v>40</v>
      </c>
      <c r="E256" s="48">
        <v>813</v>
      </c>
      <c r="F256" s="49">
        <f t="shared" si="3"/>
        <v>4.4280442804428048</v>
      </c>
      <c r="G256" s="48">
        <v>6</v>
      </c>
      <c r="H256" s="49">
        <f>(Table1[[#This Row],[Points Per 90 Minutes]]/G256)</f>
        <v>0.73800738007380084</v>
      </c>
    </row>
    <row r="257" spans="1:8">
      <c r="A257" s="48" t="s">
        <v>370</v>
      </c>
      <c r="B257" s="48" t="s">
        <v>660</v>
      </c>
      <c r="C257" s="48" t="s">
        <v>670</v>
      </c>
      <c r="D257" s="48">
        <v>39</v>
      </c>
      <c r="E257" s="48">
        <v>1488</v>
      </c>
      <c r="F257" s="49">
        <f t="shared" si="3"/>
        <v>2.3588709677419355</v>
      </c>
      <c r="G257" s="48">
        <v>4.5</v>
      </c>
      <c r="H257" s="49">
        <f>(Table1[[#This Row],[Points Per 90 Minutes]]/G257)</f>
        <v>0.52419354838709675</v>
      </c>
    </row>
    <row r="258" spans="1:8">
      <c r="A258" s="48" t="s">
        <v>468</v>
      </c>
      <c r="B258" s="48" t="s">
        <v>667</v>
      </c>
      <c r="C258" s="48" t="s">
        <v>121</v>
      </c>
      <c r="D258" s="48">
        <v>38</v>
      </c>
      <c r="E258" s="48">
        <v>607</v>
      </c>
      <c r="F258" s="49">
        <f t="shared" ref="F258:F321" si="4">D258/E258*90</f>
        <v>5.634266886326194</v>
      </c>
      <c r="G258" s="48">
        <v>5.5</v>
      </c>
      <c r="H258" s="49">
        <f>(Table1[[#This Row],[Points Per 90 Minutes]]/G258)</f>
        <v>1.024412161150217</v>
      </c>
    </row>
    <row r="259" spans="1:8">
      <c r="A259" s="48" t="s">
        <v>386</v>
      </c>
      <c r="B259" s="48" t="s">
        <v>660</v>
      </c>
      <c r="C259" s="48" t="s">
        <v>129</v>
      </c>
      <c r="D259" s="48">
        <v>37</v>
      </c>
      <c r="E259" s="48">
        <v>1313</v>
      </c>
      <c r="F259" s="49">
        <f t="shared" si="4"/>
        <v>2.5361766945925361</v>
      </c>
      <c r="G259" s="48">
        <v>4.5</v>
      </c>
      <c r="H259" s="49">
        <f>(Table1[[#This Row],[Points Per 90 Minutes]]/G259)</f>
        <v>0.56359482102056357</v>
      </c>
    </row>
    <row r="260" spans="1:8">
      <c r="A260" s="48" t="s">
        <v>432</v>
      </c>
      <c r="B260" s="48" t="s">
        <v>660</v>
      </c>
      <c r="C260" s="48" t="s">
        <v>136</v>
      </c>
      <c r="D260" s="48">
        <v>37</v>
      </c>
      <c r="E260" s="48">
        <v>876</v>
      </c>
      <c r="F260" s="49">
        <f t="shared" si="4"/>
        <v>3.8013698630136985</v>
      </c>
      <c r="G260" s="48">
        <v>5</v>
      </c>
      <c r="H260" s="49">
        <f>(Table1[[#This Row],[Points Per 90 Minutes]]/G260)</f>
        <v>0.76027397260273966</v>
      </c>
    </row>
    <row r="261" spans="1:8">
      <c r="A261" s="48" t="s">
        <v>474</v>
      </c>
      <c r="B261" s="48" t="s">
        <v>660</v>
      </c>
      <c r="C261" s="48" t="s">
        <v>121</v>
      </c>
      <c r="D261" s="48">
        <v>36</v>
      </c>
      <c r="E261" s="48">
        <v>583</v>
      </c>
      <c r="F261" s="49">
        <f t="shared" si="4"/>
        <v>5.5574614065180103</v>
      </c>
      <c r="G261" s="48">
        <v>5</v>
      </c>
      <c r="H261" s="49">
        <f>(Table1[[#This Row],[Points Per 90 Minutes]]/G261)</f>
        <v>1.1114922813036021</v>
      </c>
    </row>
    <row r="262" spans="1:8">
      <c r="A262" s="48" t="s">
        <v>453</v>
      </c>
      <c r="B262" s="48" t="s">
        <v>660</v>
      </c>
      <c r="C262" s="48" t="s">
        <v>121</v>
      </c>
      <c r="D262" s="48">
        <v>36</v>
      </c>
      <c r="E262" s="48">
        <v>729</v>
      </c>
      <c r="F262" s="49">
        <f t="shared" si="4"/>
        <v>4.4444444444444446</v>
      </c>
      <c r="G262" s="48">
        <v>6</v>
      </c>
      <c r="H262" s="49">
        <f>(Table1[[#This Row],[Points Per 90 Minutes]]/G262)</f>
        <v>0.74074074074074081</v>
      </c>
    </row>
    <row r="263" spans="1:8">
      <c r="A263" s="48" t="s">
        <v>444</v>
      </c>
      <c r="B263" s="48" t="s">
        <v>661</v>
      </c>
      <c r="C263" s="48" t="s">
        <v>663</v>
      </c>
      <c r="D263" s="48">
        <v>36</v>
      </c>
      <c r="E263" s="48">
        <v>804</v>
      </c>
      <c r="F263" s="49">
        <f t="shared" si="4"/>
        <v>4.0298507462686564</v>
      </c>
      <c r="G263" s="48">
        <v>6</v>
      </c>
      <c r="H263" s="49">
        <f>(Table1[[#This Row],[Points Per 90 Minutes]]/G263)</f>
        <v>0.67164179104477606</v>
      </c>
    </row>
    <row r="264" spans="1:8">
      <c r="A264" s="48" t="s">
        <v>476</v>
      </c>
      <c r="B264" s="48" t="s">
        <v>664</v>
      </c>
      <c r="C264" s="48" t="s">
        <v>134</v>
      </c>
      <c r="D264" s="48">
        <v>35</v>
      </c>
      <c r="E264" s="48">
        <v>574</v>
      </c>
      <c r="F264" s="49">
        <f t="shared" si="4"/>
        <v>5.48780487804878</v>
      </c>
      <c r="G264" s="48">
        <v>4.5</v>
      </c>
      <c r="H264" s="49">
        <f>(Table1[[#This Row],[Points Per 90 Minutes]]/G264)</f>
        <v>1.2195121951219512</v>
      </c>
    </row>
    <row r="265" spans="1:8">
      <c r="A265" s="48" t="s">
        <v>381</v>
      </c>
      <c r="B265" s="48" t="s">
        <v>660</v>
      </c>
      <c r="C265" s="48" t="s">
        <v>668</v>
      </c>
      <c r="D265" s="48">
        <v>35</v>
      </c>
      <c r="E265" s="48">
        <v>1392</v>
      </c>
      <c r="F265" s="49">
        <f t="shared" si="4"/>
        <v>2.2629310344827585</v>
      </c>
      <c r="G265" s="48">
        <v>4.5</v>
      </c>
      <c r="H265" s="49">
        <f>(Table1[[#This Row],[Points Per 90 Minutes]]/G265)</f>
        <v>0.50287356321839072</v>
      </c>
    </row>
    <row r="266" spans="1:8">
      <c r="A266" s="48" t="s">
        <v>413</v>
      </c>
      <c r="B266" s="48" t="s">
        <v>664</v>
      </c>
      <c r="C266" s="48" t="s">
        <v>669</v>
      </c>
      <c r="D266" s="48">
        <v>34</v>
      </c>
      <c r="E266" s="48">
        <v>1028</v>
      </c>
      <c r="F266" s="49">
        <f t="shared" si="4"/>
        <v>2.9766536964980546</v>
      </c>
      <c r="G266" s="48">
        <v>5</v>
      </c>
      <c r="H266" s="49">
        <f>(Table1[[#This Row],[Points Per 90 Minutes]]/G266)</f>
        <v>0.59533073929961089</v>
      </c>
    </row>
    <row r="267" spans="1:8">
      <c r="A267" s="48" t="s">
        <v>405</v>
      </c>
      <c r="B267" s="48" t="s">
        <v>664</v>
      </c>
      <c r="C267" s="48" t="s">
        <v>669</v>
      </c>
      <c r="D267" s="48">
        <v>34</v>
      </c>
      <c r="E267" s="48">
        <v>1121</v>
      </c>
      <c r="F267" s="49">
        <f t="shared" si="4"/>
        <v>2.7297056199821585</v>
      </c>
      <c r="G267" s="48">
        <v>5.5</v>
      </c>
      <c r="H267" s="49">
        <f>(Table1[[#This Row],[Points Per 90 Minutes]]/G267)</f>
        <v>0.49631011272402881</v>
      </c>
    </row>
    <row r="268" spans="1:8">
      <c r="A268" s="48" t="s">
        <v>399</v>
      </c>
      <c r="B268" s="48" t="s">
        <v>664</v>
      </c>
      <c r="C268" s="48" t="s">
        <v>666</v>
      </c>
      <c r="D268" s="48">
        <v>34</v>
      </c>
      <c r="E268" s="48">
        <v>1179</v>
      </c>
      <c r="F268" s="49">
        <f t="shared" si="4"/>
        <v>2.5954198473282442</v>
      </c>
      <c r="G268" s="48">
        <v>5</v>
      </c>
      <c r="H268" s="49">
        <f>(Table1[[#This Row],[Points Per 90 Minutes]]/G268)</f>
        <v>0.51908396946564883</v>
      </c>
    </row>
    <row r="269" spans="1:8">
      <c r="A269" s="48" t="s">
        <v>392</v>
      </c>
      <c r="B269" s="48" t="s">
        <v>660</v>
      </c>
      <c r="C269" s="48" t="s">
        <v>672</v>
      </c>
      <c r="D269" s="48">
        <v>33</v>
      </c>
      <c r="E269" s="48">
        <v>1267</v>
      </c>
      <c r="F269" s="49">
        <f t="shared" si="4"/>
        <v>2.3441199684293608</v>
      </c>
      <c r="G269" s="48">
        <v>4.5</v>
      </c>
      <c r="H269" s="49">
        <f>(Table1[[#This Row],[Points Per 90 Minutes]]/G269)</f>
        <v>0.520915548539858</v>
      </c>
    </row>
    <row r="270" spans="1:8">
      <c r="A270" s="48" t="s">
        <v>423</v>
      </c>
      <c r="B270" s="48" t="s">
        <v>660</v>
      </c>
      <c r="C270" s="48" t="s">
        <v>671</v>
      </c>
      <c r="D270" s="48">
        <v>33</v>
      </c>
      <c r="E270" s="48">
        <v>933</v>
      </c>
      <c r="F270" s="49">
        <f t="shared" si="4"/>
        <v>3.1832797427652735</v>
      </c>
      <c r="G270" s="48">
        <v>5</v>
      </c>
      <c r="H270" s="49">
        <f>(Table1[[#This Row],[Points Per 90 Minutes]]/G270)</f>
        <v>0.63665594855305474</v>
      </c>
    </row>
    <row r="271" spans="1:8">
      <c r="A271" s="48" t="s">
        <v>419</v>
      </c>
      <c r="B271" s="48" t="s">
        <v>661</v>
      </c>
      <c r="C271" s="48" t="s">
        <v>129</v>
      </c>
      <c r="D271" s="48">
        <v>32</v>
      </c>
      <c r="E271" s="48">
        <v>939</v>
      </c>
      <c r="F271" s="49">
        <f t="shared" si="4"/>
        <v>3.0670926517571888</v>
      </c>
      <c r="G271" s="48">
        <v>7</v>
      </c>
      <c r="H271" s="49">
        <f>(Table1[[#This Row],[Points Per 90 Minutes]]/G271)</f>
        <v>0.43815609310816983</v>
      </c>
    </row>
    <row r="272" spans="1:8">
      <c r="A272" s="48" t="s">
        <v>440</v>
      </c>
      <c r="B272" s="48" t="s">
        <v>664</v>
      </c>
      <c r="C272" s="48" t="s">
        <v>136</v>
      </c>
      <c r="D272" s="48">
        <v>32</v>
      </c>
      <c r="E272" s="48">
        <v>823</v>
      </c>
      <c r="F272" s="49">
        <f t="shared" si="4"/>
        <v>3.4993924665856619</v>
      </c>
      <c r="G272" s="48">
        <v>4.5</v>
      </c>
      <c r="H272" s="49">
        <f>(Table1[[#This Row],[Points Per 90 Minutes]]/G272)</f>
        <v>0.77764277035236928</v>
      </c>
    </row>
    <row r="273" spans="1:8">
      <c r="A273" s="48" t="s">
        <v>439</v>
      </c>
      <c r="B273" s="48" t="s">
        <v>664</v>
      </c>
      <c r="C273" s="48" t="s">
        <v>668</v>
      </c>
      <c r="D273" s="48">
        <v>32</v>
      </c>
      <c r="E273" s="48">
        <v>825</v>
      </c>
      <c r="F273" s="49">
        <f t="shared" si="4"/>
        <v>3.4909090909090907</v>
      </c>
      <c r="G273" s="48">
        <v>4.5</v>
      </c>
      <c r="H273" s="49">
        <f>(Table1[[#This Row],[Points Per 90 Minutes]]/G273)</f>
        <v>0.77575757575757576</v>
      </c>
    </row>
    <row r="274" spans="1:8">
      <c r="A274" s="48" t="s">
        <v>441</v>
      </c>
      <c r="B274" s="48" t="s">
        <v>660</v>
      </c>
      <c r="C274" s="48" t="s">
        <v>123</v>
      </c>
      <c r="D274" s="48">
        <v>31</v>
      </c>
      <c r="E274" s="48">
        <v>822</v>
      </c>
      <c r="F274" s="49">
        <f t="shared" si="4"/>
        <v>3.394160583941606</v>
      </c>
      <c r="G274" s="48">
        <v>5.5</v>
      </c>
      <c r="H274" s="49">
        <f>(Table1[[#This Row],[Points Per 90 Minutes]]/G274)</f>
        <v>0.61712010617120105</v>
      </c>
    </row>
    <row r="275" spans="1:8">
      <c r="A275" s="48" t="s">
        <v>418</v>
      </c>
      <c r="B275" s="48" t="s">
        <v>664</v>
      </c>
      <c r="C275" s="48" t="s">
        <v>125</v>
      </c>
      <c r="D275" s="48">
        <v>31</v>
      </c>
      <c r="E275" s="48">
        <v>942</v>
      </c>
      <c r="F275" s="49">
        <f t="shared" si="4"/>
        <v>2.9617834394904459</v>
      </c>
      <c r="G275" s="48">
        <v>5.5</v>
      </c>
      <c r="H275" s="49">
        <f>(Table1[[#This Row],[Points Per 90 Minutes]]/G275)</f>
        <v>0.53850607990735377</v>
      </c>
    </row>
    <row r="276" spans="1:8">
      <c r="A276" s="48" t="s">
        <v>454</v>
      </c>
      <c r="B276" s="48" t="s">
        <v>667</v>
      </c>
      <c r="C276" s="48" t="s">
        <v>670</v>
      </c>
      <c r="D276" s="48">
        <v>31</v>
      </c>
      <c r="E276" s="48">
        <v>720</v>
      </c>
      <c r="F276" s="49">
        <f t="shared" si="4"/>
        <v>3.875</v>
      </c>
      <c r="G276" s="48">
        <v>4</v>
      </c>
      <c r="H276" s="49">
        <f>(Table1[[#This Row],[Points Per 90 Minutes]]/G276)</f>
        <v>0.96875</v>
      </c>
    </row>
    <row r="277" spans="1:8">
      <c r="A277" s="48" t="s">
        <v>434</v>
      </c>
      <c r="B277" s="48" t="s">
        <v>660</v>
      </c>
      <c r="C277" s="48" t="s">
        <v>669</v>
      </c>
      <c r="D277" s="48">
        <v>31</v>
      </c>
      <c r="E277" s="48">
        <v>856</v>
      </c>
      <c r="F277" s="49">
        <f t="shared" si="4"/>
        <v>3.259345794392523</v>
      </c>
      <c r="G277" s="48">
        <v>5.5</v>
      </c>
      <c r="H277" s="49">
        <f>(Table1[[#This Row],[Points Per 90 Minutes]]/G277)</f>
        <v>0.59260832625318605</v>
      </c>
    </row>
    <row r="278" spans="1:8">
      <c r="A278" s="48" t="s">
        <v>460</v>
      </c>
      <c r="B278" s="48" t="s">
        <v>660</v>
      </c>
      <c r="C278" s="48" t="s">
        <v>672</v>
      </c>
      <c r="D278" s="48">
        <v>31</v>
      </c>
      <c r="E278" s="48">
        <v>652</v>
      </c>
      <c r="F278" s="49">
        <f t="shared" si="4"/>
        <v>4.2791411042944789</v>
      </c>
      <c r="G278" s="48">
        <v>4.5</v>
      </c>
      <c r="H278" s="49">
        <f>(Table1[[#This Row],[Points Per 90 Minutes]]/G278)</f>
        <v>0.95092024539877307</v>
      </c>
    </row>
    <row r="279" spans="1:8">
      <c r="A279" s="48" t="s">
        <v>430</v>
      </c>
      <c r="B279" s="48" t="s">
        <v>664</v>
      </c>
      <c r="C279" s="48" t="s">
        <v>663</v>
      </c>
      <c r="D279" s="48">
        <v>31</v>
      </c>
      <c r="E279" s="48">
        <v>895</v>
      </c>
      <c r="F279" s="49">
        <f t="shared" si="4"/>
        <v>3.1173184357541897</v>
      </c>
      <c r="G279" s="48">
        <v>4.5</v>
      </c>
      <c r="H279" s="49">
        <f>(Table1[[#This Row],[Points Per 90 Minutes]]/G279)</f>
        <v>0.6927374301675977</v>
      </c>
    </row>
    <row r="280" spans="1:8">
      <c r="A280" s="48" t="s">
        <v>426</v>
      </c>
      <c r="B280" s="48" t="s">
        <v>667</v>
      </c>
      <c r="C280" s="48" t="s">
        <v>136</v>
      </c>
      <c r="D280" s="48">
        <v>31</v>
      </c>
      <c r="E280" s="48">
        <v>900</v>
      </c>
      <c r="F280" s="49">
        <f t="shared" si="4"/>
        <v>3.1</v>
      </c>
      <c r="G280" s="48">
        <v>4.5</v>
      </c>
      <c r="H280" s="49">
        <f>(Table1[[#This Row],[Points Per 90 Minutes]]/G280)</f>
        <v>0.68888888888888888</v>
      </c>
    </row>
    <row r="281" spans="1:8">
      <c r="A281" s="48" t="s">
        <v>465</v>
      </c>
      <c r="B281" s="48" t="s">
        <v>661</v>
      </c>
      <c r="C281" s="48" t="s">
        <v>136</v>
      </c>
      <c r="D281" s="48">
        <v>30</v>
      </c>
      <c r="E281" s="48">
        <v>627</v>
      </c>
      <c r="F281" s="49">
        <f t="shared" si="4"/>
        <v>4.3062200956937797</v>
      </c>
      <c r="G281" s="48">
        <v>4.5</v>
      </c>
      <c r="H281" s="49">
        <f>(Table1[[#This Row],[Points Per 90 Minutes]]/G281)</f>
        <v>0.9569377990430622</v>
      </c>
    </row>
    <row r="282" spans="1:8">
      <c r="A282" s="48" t="s">
        <v>448</v>
      </c>
      <c r="B282" s="48" t="s">
        <v>664</v>
      </c>
      <c r="C282" s="48" t="s">
        <v>123</v>
      </c>
      <c r="D282" s="48">
        <v>29</v>
      </c>
      <c r="E282" s="48">
        <v>764</v>
      </c>
      <c r="F282" s="49">
        <f t="shared" si="4"/>
        <v>3.4162303664921465</v>
      </c>
      <c r="G282" s="48">
        <v>4</v>
      </c>
      <c r="H282" s="49">
        <f>(Table1[[#This Row],[Points Per 90 Minutes]]/G282)</f>
        <v>0.85405759162303663</v>
      </c>
    </row>
    <row r="283" spans="1:8">
      <c r="A283" s="48" t="s">
        <v>390</v>
      </c>
      <c r="B283" s="48" t="s">
        <v>660</v>
      </c>
      <c r="C283" s="48" t="s">
        <v>127</v>
      </c>
      <c r="D283" s="48">
        <v>29</v>
      </c>
      <c r="E283" s="48">
        <v>1284</v>
      </c>
      <c r="F283" s="49">
        <f t="shared" si="4"/>
        <v>2.0327102803738315</v>
      </c>
      <c r="G283" s="48">
        <v>4.5</v>
      </c>
      <c r="H283" s="49">
        <f>(Table1[[#This Row],[Points Per 90 Minutes]]/G283)</f>
        <v>0.45171339563862922</v>
      </c>
    </row>
    <row r="284" spans="1:8">
      <c r="A284" s="48" t="s">
        <v>457</v>
      </c>
      <c r="B284" s="48" t="s">
        <v>660</v>
      </c>
      <c r="C284" s="48" t="s">
        <v>125</v>
      </c>
      <c r="D284" s="48">
        <v>28</v>
      </c>
      <c r="E284" s="48">
        <v>702</v>
      </c>
      <c r="F284" s="49">
        <f t="shared" si="4"/>
        <v>3.5897435897435899</v>
      </c>
      <c r="G284" s="48">
        <v>4.5</v>
      </c>
      <c r="H284" s="49">
        <f>(Table1[[#This Row],[Points Per 90 Minutes]]/G284)</f>
        <v>0.79772079772079774</v>
      </c>
    </row>
    <row r="285" spans="1:8">
      <c r="A285" s="48" t="s">
        <v>416</v>
      </c>
      <c r="B285" s="48" t="s">
        <v>664</v>
      </c>
      <c r="C285" s="48" t="s">
        <v>663</v>
      </c>
      <c r="D285" s="48">
        <v>28</v>
      </c>
      <c r="E285" s="48">
        <v>990</v>
      </c>
      <c r="F285" s="49">
        <f t="shared" si="4"/>
        <v>2.5454545454545454</v>
      </c>
      <c r="G285" s="48">
        <v>4.5</v>
      </c>
      <c r="H285" s="49">
        <f>(Table1[[#This Row],[Points Per 90 Minutes]]/G285)</f>
        <v>0.56565656565656564</v>
      </c>
    </row>
    <row r="286" spans="1:8">
      <c r="A286" s="48" t="s">
        <v>436</v>
      </c>
      <c r="B286" s="48" t="s">
        <v>660</v>
      </c>
      <c r="C286" s="48" t="s">
        <v>126</v>
      </c>
      <c r="D286" s="48">
        <v>27</v>
      </c>
      <c r="E286" s="48">
        <v>853</v>
      </c>
      <c r="F286" s="49">
        <f t="shared" si="4"/>
        <v>2.8487690504103163</v>
      </c>
      <c r="G286" s="48">
        <v>4.5</v>
      </c>
      <c r="H286" s="49">
        <f>(Table1[[#This Row],[Points Per 90 Minutes]]/G286)</f>
        <v>0.63305978898007031</v>
      </c>
    </row>
    <row r="287" spans="1:8">
      <c r="A287" s="48" t="s">
        <v>475</v>
      </c>
      <c r="B287" s="48" t="s">
        <v>661</v>
      </c>
      <c r="C287" s="48" t="s">
        <v>670</v>
      </c>
      <c r="D287" s="48">
        <v>27</v>
      </c>
      <c r="E287" s="48">
        <v>577</v>
      </c>
      <c r="F287" s="49">
        <f t="shared" si="4"/>
        <v>4.2114384748700173</v>
      </c>
      <c r="G287" s="48">
        <v>6</v>
      </c>
      <c r="H287" s="49">
        <f>(Table1[[#This Row],[Points Per 90 Minutes]]/G287)</f>
        <v>0.70190641247833618</v>
      </c>
    </row>
    <row r="288" spans="1:8">
      <c r="A288" s="48" t="s">
        <v>387</v>
      </c>
      <c r="B288" s="48" t="s">
        <v>664</v>
      </c>
      <c r="C288" s="48" t="s">
        <v>663</v>
      </c>
      <c r="D288" s="48">
        <v>27</v>
      </c>
      <c r="E288" s="48">
        <v>1306</v>
      </c>
      <c r="F288" s="49">
        <f t="shared" si="4"/>
        <v>1.8606431852986216</v>
      </c>
      <c r="G288" s="48">
        <v>5</v>
      </c>
      <c r="H288" s="49">
        <f>(Table1[[#This Row],[Points Per 90 Minutes]]/G288)</f>
        <v>0.37212863705972432</v>
      </c>
    </row>
    <row r="289" spans="1:8">
      <c r="A289" s="48" t="s">
        <v>480</v>
      </c>
      <c r="B289" s="48" t="s">
        <v>661</v>
      </c>
      <c r="C289" s="48" t="s">
        <v>665</v>
      </c>
      <c r="D289" s="48">
        <v>27</v>
      </c>
      <c r="E289" s="48">
        <v>487</v>
      </c>
      <c r="F289" s="49">
        <f t="shared" si="4"/>
        <v>4.9897330595482545</v>
      </c>
      <c r="G289" s="48">
        <v>5.5</v>
      </c>
      <c r="H289" s="49">
        <f>(Table1[[#This Row],[Points Per 90 Minutes]]/G289)</f>
        <v>0.90722419264513721</v>
      </c>
    </row>
    <row r="290" spans="1:8">
      <c r="A290" s="48" t="s">
        <v>473</v>
      </c>
      <c r="B290" s="48" t="s">
        <v>667</v>
      </c>
      <c r="C290" s="48" t="s">
        <v>127</v>
      </c>
      <c r="D290" s="48">
        <v>26</v>
      </c>
      <c r="E290" s="48">
        <v>585</v>
      </c>
      <c r="F290" s="49">
        <f t="shared" si="4"/>
        <v>4</v>
      </c>
      <c r="G290" s="48">
        <v>4.5</v>
      </c>
      <c r="H290" s="49">
        <f>(Table1[[#This Row],[Points Per 90 Minutes]]/G290)</f>
        <v>0.88888888888888884</v>
      </c>
    </row>
    <row r="291" spans="1:8">
      <c r="A291" s="48" t="s">
        <v>415</v>
      </c>
      <c r="B291" s="48" t="s">
        <v>664</v>
      </c>
      <c r="C291" s="48" t="s">
        <v>671</v>
      </c>
      <c r="D291" s="48">
        <v>26</v>
      </c>
      <c r="E291" s="48">
        <v>1006</v>
      </c>
      <c r="F291" s="49">
        <f t="shared" si="4"/>
        <v>2.3260437375745528</v>
      </c>
      <c r="G291" s="48">
        <v>4.5</v>
      </c>
      <c r="H291" s="49">
        <f>(Table1[[#This Row],[Points Per 90 Minutes]]/G291)</f>
        <v>0.51689860834990065</v>
      </c>
    </row>
    <row r="292" spans="1:8">
      <c r="A292" s="48" t="s">
        <v>505</v>
      </c>
      <c r="B292" s="48" t="s">
        <v>660</v>
      </c>
      <c r="C292" s="48" t="s">
        <v>123</v>
      </c>
      <c r="D292" s="48">
        <v>25</v>
      </c>
      <c r="E292" s="48">
        <v>284</v>
      </c>
      <c r="F292" s="49">
        <f t="shared" si="4"/>
        <v>7.9225352112676051</v>
      </c>
      <c r="G292" s="48">
        <v>5</v>
      </c>
      <c r="H292" s="49">
        <f>(Table1[[#This Row],[Points Per 90 Minutes]]/G292)</f>
        <v>1.584507042253521</v>
      </c>
    </row>
    <row r="293" spans="1:8">
      <c r="A293" s="48" t="s">
        <v>437</v>
      </c>
      <c r="B293" s="48" t="s">
        <v>664</v>
      </c>
      <c r="C293" s="48" t="s">
        <v>126</v>
      </c>
      <c r="D293" s="48">
        <v>25</v>
      </c>
      <c r="E293" s="48">
        <v>843</v>
      </c>
      <c r="F293" s="49">
        <f t="shared" si="4"/>
        <v>2.6690391459074734</v>
      </c>
      <c r="G293" s="48">
        <v>4</v>
      </c>
      <c r="H293" s="49">
        <f>(Table1[[#This Row],[Points Per 90 Minutes]]/G293)</f>
        <v>0.66725978647686834</v>
      </c>
    </row>
    <row r="294" spans="1:8">
      <c r="A294" s="48" t="s">
        <v>393</v>
      </c>
      <c r="B294" s="48" t="s">
        <v>664</v>
      </c>
      <c r="C294" s="48" t="s">
        <v>670</v>
      </c>
      <c r="D294" s="48">
        <v>25</v>
      </c>
      <c r="E294" s="48">
        <v>1252</v>
      </c>
      <c r="F294" s="49">
        <f t="shared" si="4"/>
        <v>1.7971246006389776</v>
      </c>
      <c r="G294" s="48">
        <v>4</v>
      </c>
      <c r="H294" s="49">
        <f>(Table1[[#This Row],[Points Per 90 Minutes]]/G294)</f>
        <v>0.4492811501597444</v>
      </c>
    </row>
    <row r="295" spans="1:8">
      <c r="A295" s="48" t="s">
        <v>455</v>
      </c>
      <c r="B295" s="48" t="s">
        <v>664</v>
      </c>
      <c r="C295" s="48" t="s">
        <v>129</v>
      </c>
      <c r="D295" s="48">
        <v>25</v>
      </c>
      <c r="E295" s="48">
        <v>712</v>
      </c>
      <c r="F295" s="49">
        <f t="shared" si="4"/>
        <v>3.160112359550562</v>
      </c>
      <c r="G295" s="48">
        <v>4.5</v>
      </c>
      <c r="H295" s="49">
        <f>(Table1[[#This Row],[Points Per 90 Minutes]]/G295)</f>
        <v>0.702247191011236</v>
      </c>
    </row>
    <row r="296" spans="1:8">
      <c r="A296" s="48" t="s">
        <v>427</v>
      </c>
      <c r="B296" s="48" t="s">
        <v>660</v>
      </c>
      <c r="C296" s="48" t="s">
        <v>673</v>
      </c>
      <c r="D296" s="48">
        <v>25</v>
      </c>
      <c r="E296" s="48">
        <v>899</v>
      </c>
      <c r="F296" s="49">
        <f t="shared" si="4"/>
        <v>2.5027808676307006</v>
      </c>
      <c r="G296" s="48">
        <v>4.5</v>
      </c>
      <c r="H296" s="49">
        <f>(Table1[[#This Row],[Points Per 90 Minutes]]/G296)</f>
        <v>0.55617352614015569</v>
      </c>
    </row>
    <row r="297" spans="1:8">
      <c r="A297" s="48" t="s">
        <v>470</v>
      </c>
      <c r="B297" s="48" t="s">
        <v>661</v>
      </c>
      <c r="C297" s="48" t="s">
        <v>127</v>
      </c>
      <c r="D297" s="48">
        <v>24</v>
      </c>
      <c r="E297" s="48">
        <v>601</v>
      </c>
      <c r="F297" s="49">
        <f t="shared" si="4"/>
        <v>3.5940099833610648</v>
      </c>
      <c r="G297" s="48">
        <v>5</v>
      </c>
      <c r="H297" s="49">
        <f>(Table1[[#This Row],[Points Per 90 Minutes]]/G297)</f>
        <v>0.71880199667221301</v>
      </c>
    </row>
    <row r="298" spans="1:8">
      <c r="A298" s="48" t="s">
        <v>461</v>
      </c>
      <c r="B298" s="48" t="s">
        <v>664</v>
      </c>
      <c r="C298" s="48" t="s">
        <v>672</v>
      </c>
      <c r="D298" s="48">
        <v>24</v>
      </c>
      <c r="E298" s="48">
        <v>652</v>
      </c>
      <c r="F298" s="49">
        <f t="shared" si="4"/>
        <v>3.3128834355828225</v>
      </c>
      <c r="G298" s="48">
        <v>4</v>
      </c>
      <c r="H298" s="49">
        <f>(Table1[[#This Row],[Points Per 90 Minutes]]/G298)</f>
        <v>0.82822085889570563</v>
      </c>
    </row>
    <row r="299" spans="1:8">
      <c r="A299" s="48" t="s">
        <v>443</v>
      </c>
      <c r="B299" s="48" t="s">
        <v>664</v>
      </c>
      <c r="C299" s="48" t="s">
        <v>121</v>
      </c>
      <c r="D299" s="48">
        <v>23</v>
      </c>
      <c r="E299" s="48">
        <v>805</v>
      </c>
      <c r="F299" s="49">
        <f t="shared" si="4"/>
        <v>2.5714285714285712</v>
      </c>
      <c r="G299" s="48">
        <v>5.5</v>
      </c>
      <c r="H299" s="49">
        <f>(Table1[[#This Row],[Points Per 90 Minutes]]/G299)</f>
        <v>0.46753246753246747</v>
      </c>
    </row>
    <row r="300" spans="1:8">
      <c r="A300" s="48" t="s">
        <v>429</v>
      </c>
      <c r="B300" s="48" t="s">
        <v>660</v>
      </c>
      <c r="C300" s="48" t="s">
        <v>672</v>
      </c>
      <c r="D300" s="48">
        <v>23</v>
      </c>
      <c r="E300" s="48">
        <v>895</v>
      </c>
      <c r="F300" s="49">
        <f t="shared" si="4"/>
        <v>2.3128491620111733</v>
      </c>
      <c r="G300" s="48">
        <v>4.5</v>
      </c>
      <c r="H300" s="49">
        <f>(Table1[[#This Row],[Points Per 90 Minutes]]/G300)</f>
        <v>0.51396648044692739</v>
      </c>
    </row>
    <row r="301" spans="1:8">
      <c r="A301" s="48" t="s">
        <v>428</v>
      </c>
      <c r="B301" s="48" t="s">
        <v>660</v>
      </c>
      <c r="C301" s="48" t="s">
        <v>139</v>
      </c>
      <c r="D301" s="48">
        <v>23</v>
      </c>
      <c r="E301" s="48">
        <v>897</v>
      </c>
      <c r="F301" s="49">
        <f t="shared" si="4"/>
        <v>2.3076923076923075</v>
      </c>
      <c r="G301" s="48">
        <v>5</v>
      </c>
      <c r="H301" s="49">
        <f>(Table1[[#This Row],[Points Per 90 Minutes]]/G301)</f>
        <v>0.46153846153846151</v>
      </c>
    </row>
    <row r="302" spans="1:8">
      <c r="A302" s="48" t="s">
        <v>463</v>
      </c>
      <c r="B302" s="48" t="s">
        <v>664</v>
      </c>
      <c r="C302" s="48" t="s">
        <v>123</v>
      </c>
      <c r="D302" s="48">
        <v>22</v>
      </c>
      <c r="E302" s="48">
        <v>633</v>
      </c>
      <c r="F302" s="49">
        <f t="shared" si="4"/>
        <v>3.1279620853080567</v>
      </c>
      <c r="G302" s="48">
        <v>4</v>
      </c>
      <c r="H302" s="49">
        <f>(Table1[[#This Row],[Points Per 90 Minutes]]/G302)</f>
        <v>0.78199052132701419</v>
      </c>
    </row>
    <row r="303" spans="1:8">
      <c r="A303" s="48" t="s">
        <v>481</v>
      </c>
      <c r="B303" s="48" t="s">
        <v>660</v>
      </c>
      <c r="C303" s="48" t="s">
        <v>123</v>
      </c>
      <c r="D303" s="48">
        <v>22</v>
      </c>
      <c r="E303" s="48">
        <v>468</v>
      </c>
      <c r="F303" s="49">
        <f t="shared" si="4"/>
        <v>4.2307692307692308</v>
      </c>
      <c r="G303" s="48">
        <v>5</v>
      </c>
      <c r="H303" s="49">
        <f>(Table1[[#This Row],[Points Per 90 Minutes]]/G303)</f>
        <v>0.84615384615384615</v>
      </c>
    </row>
    <row r="304" spans="1:8">
      <c r="A304" s="48" t="s">
        <v>449</v>
      </c>
      <c r="B304" s="48" t="s">
        <v>664</v>
      </c>
      <c r="C304" s="48" t="s">
        <v>129</v>
      </c>
      <c r="D304" s="48">
        <v>22</v>
      </c>
      <c r="E304" s="48">
        <v>759</v>
      </c>
      <c r="F304" s="49">
        <f t="shared" si="4"/>
        <v>2.6086956521739131</v>
      </c>
      <c r="G304" s="48">
        <v>4.5</v>
      </c>
      <c r="H304" s="49">
        <f>(Table1[[#This Row],[Points Per 90 Minutes]]/G304)</f>
        <v>0.57971014492753625</v>
      </c>
    </row>
    <row r="305" spans="1:8">
      <c r="A305" s="48" t="s">
        <v>452</v>
      </c>
      <c r="B305" s="48" t="s">
        <v>664</v>
      </c>
      <c r="C305" s="48" t="s">
        <v>662</v>
      </c>
      <c r="D305" s="48">
        <v>22</v>
      </c>
      <c r="E305" s="48">
        <v>741</v>
      </c>
      <c r="F305" s="49">
        <f t="shared" si="4"/>
        <v>2.6720647773279351</v>
      </c>
      <c r="G305" s="48">
        <v>5</v>
      </c>
      <c r="H305" s="49">
        <f>(Table1[[#This Row],[Points Per 90 Minutes]]/G305)</f>
        <v>0.53441295546558698</v>
      </c>
    </row>
    <row r="306" spans="1:8">
      <c r="A306" s="48" t="s">
        <v>458</v>
      </c>
      <c r="B306" s="48" t="s">
        <v>660</v>
      </c>
      <c r="C306" s="48" t="s">
        <v>672</v>
      </c>
      <c r="D306" s="48">
        <v>22</v>
      </c>
      <c r="E306" s="48">
        <v>664</v>
      </c>
      <c r="F306" s="49">
        <f t="shared" si="4"/>
        <v>2.9819277108433737</v>
      </c>
      <c r="G306" s="48">
        <v>4.5</v>
      </c>
      <c r="H306" s="49">
        <f>(Table1[[#This Row],[Points Per 90 Minutes]]/G306)</f>
        <v>0.66265060240963858</v>
      </c>
    </row>
    <row r="307" spans="1:8">
      <c r="A307" s="48" t="s">
        <v>467</v>
      </c>
      <c r="B307" s="48" t="s">
        <v>667</v>
      </c>
      <c r="C307" s="48" t="s">
        <v>134</v>
      </c>
      <c r="D307" s="48">
        <v>22</v>
      </c>
      <c r="E307" s="48">
        <v>617</v>
      </c>
      <c r="F307" s="49">
        <f t="shared" si="4"/>
        <v>3.2090761750405186</v>
      </c>
      <c r="G307" s="48">
        <v>4.5</v>
      </c>
      <c r="H307" s="49">
        <f>(Table1[[#This Row],[Points Per 90 Minutes]]/G307)</f>
        <v>0.713128038897893</v>
      </c>
    </row>
    <row r="308" spans="1:8">
      <c r="A308" s="48" t="s">
        <v>425</v>
      </c>
      <c r="B308" s="48" t="s">
        <v>660</v>
      </c>
      <c r="C308" s="48" t="s">
        <v>136</v>
      </c>
      <c r="D308" s="48">
        <v>22</v>
      </c>
      <c r="E308" s="48">
        <v>911</v>
      </c>
      <c r="F308" s="49">
        <f t="shared" si="4"/>
        <v>2.1734357848518111</v>
      </c>
      <c r="G308" s="48">
        <v>4.5</v>
      </c>
      <c r="H308" s="49">
        <f>(Table1[[#This Row],[Points Per 90 Minutes]]/G308)</f>
        <v>0.48298572996706912</v>
      </c>
    </row>
    <row r="309" spans="1:8">
      <c r="A309" s="48" t="s">
        <v>466</v>
      </c>
      <c r="B309" s="48" t="s">
        <v>660</v>
      </c>
      <c r="C309" s="48" t="s">
        <v>129</v>
      </c>
      <c r="D309" s="48">
        <v>21</v>
      </c>
      <c r="E309" s="48">
        <v>617</v>
      </c>
      <c r="F309" s="49">
        <f t="shared" si="4"/>
        <v>3.0632090761750401</v>
      </c>
      <c r="G309" s="48">
        <v>5</v>
      </c>
      <c r="H309" s="49">
        <f>(Table1[[#This Row],[Points Per 90 Minutes]]/G309)</f>
        <v>0.61264181523500805</v>
      </c>
    </row>
    <row r="310" spans="1:8">
      <c r="A310" s="48" t="s">
        <v>471</v>
      </c>
      <c r="B310" s="48" t="s">
        <v>664</v>
      </c>
      <c r="C310" s="48" t="s">
        <v>669</v>
      </c>
      <c r="D310" s="48">
        <v>21</v>
      </c>
      <c r="E310" s="48">
        <v>592</v>
      </c>
      <c r="F310" s="49">
        <f t="shared" si="4"/>
        <v>3.1925675675675675</v>
      </c>
      <c r="G310" s="48">
        <v>5</v>
      </c>
      <c r="H310" s="49">
        <f>(Table1[[#This Row],[Points Per 90 Minutes]]/G310)</f>
        <v>0.63851351351351349</v>
      </c>
    </row>
    <row r="311" spans="1:8">
      <c r="A311" s="48" t="s">
        <v>414</v>
      </c>
      <c r="B311" s="48" t="s">
        <v>660</v>
      </c>
      <c r="C311" s="48" t="s">
        <v>663</v>
      </c>
      <c r="D311" s="48">
        <v>21</v>
      </c>
      <c r="E311" s="48">
        <v>692</v>
      </c>
      <c r="F311" s="49">
        <f t="shared" si="4"/>
        <v>2.7312138728323698</v>
      </c>
      <c r="G311" s="48">
        <v>5</v>
      </c>
      <c r="H311" s="49">
        <f>(Table1[[#This Row],[Points Per 90 Minutes]]/G311)</f>
        <v>0.54624277456647397</v>
      </c>
    </row>
    <row r="312" spans="1:8">
      <c r="A312" s="48" t="s">
        <v>479</v>
      </c>
      <c r="B312" s="48" t="s">
        <v>661</v>
      </c>
      <c r="C312" s="48" t="s">
        <v>666</v>
      </c>
      <c r="D312" s="48">
        <v>21</v>
      </c>
      <c r="E312" s="48">
        <v>514</v>
      </c>
      <c r="F312" s="49">
        <f t="shared" si="4"/>
        <v>3.6770428015564205</v>
      </c>
      <c r="G312" s="48">
        <v>4.5</v>
      </c>
      <c r="H312" s="49">
        <f>(Table1[[#This Row],[Points Per 90 Minutes]]/G312)</f>
        <v>0.81712062256809348</v>
      </c>
    </row>
    <row r="313" spans="1:8">
      <c r="A313" s="48" t="s">
        <v>410</v>
      </c>
      <c r="B313" s="48" t="s">
        <v>664</v>
      </c>
      <c r="C313" s="48" t="s">
        <v>124</v>
      </c>
      <c r="D313" s="48">
        <v>20</v>
      </c>
      <c r="E313" s="48">
        <v>1080</v>
      </c>
      <c r="F313" s="49">
        <f t="shared" si="4"/>
        <v>1.6666666666666665</v>
      </c>
      <c r="G313" s="48">
        <v>4.5</v>
      </c>
      <c r="H313" s="49">
        <f>(Table1[[#This Row],[Points Per 90 Minutes]]/G313)</f>
        <v>0.37037037037037035</v>
      </c>
    </row>
    <row r="314" spans="1:8">
      <c r="A314" s="48" t="s">
        <v>447</v>
      </c>
      <c r="B314" s="48" t="s">
        <v>660</v>
      </c>
      <c r="C314" s="48" t="s">
        <v>670</v>
      </c>
      <c r="D314" s="48">
        <v>20</v>
      </c>
      <c r="E314" s="48">
        <v>778</v>
      </c>
      <c r="F314" s="49">
        <f t="shared" si="4"/>
        <v>2.3136246786632393</v>
      </c>
      <c r="G314" s="48">
        <v>4.5</v>
      </c>
      <c r="H314" s="49">
        <f>(Table1[[#This Row],[Points Per 90 Minutes]]/G314)</f>
        <v>0.51413881748071988</v>
      </c>
    </row>
    <row r="315" spans="1:8">
      <c r="A315" s="48" t="s">
        <v>456</v>
      </c>
      <c r="B315" s="48" t="s">
        <v>664</v>
      </c>
      <c r="C315" s="48" t="s">
        <v>663</v>
      </c>
      <c r="D315" s="48">
        <v>20</v>
      </c>
      <c r="E315" s="48">
        <v>707</v>
      </c>
      <c r="F315" s="49">
        <f t="shared" si="4"/>
        <v>2.5459688826025459</v>
      </c>
      <c r="G315" s="48">
        <v>4.5</v>
      </c>
      <c r="H315" s="49">
        <f>(Table1[[#This Row],[Points Per 90 Minutes]]/G315)</f>
        <v>0.56577086280056577</v>
      </c>
    </row>
    <row r="316" spans="1:8">
      <c r="A316" s="48" t="s">
        <v>486</v>
      </c>
      <c r="B316" s="48" t="s">
        <v>660</v>
      </c>
      <c r="C316" s="48" t="s">
        <v>121</v>
      </c>
      <c r="D316" s="48">
        <v>19</v>
      </c>
      <c r="E316" s="48">
        <v>447</v>
      </c>
      <c r="F316" s="49">
        <f t="shared" si="4"/>
        <v>3.8255033557046985</v>
      </c>
      <c r="G316" s="48">
        <v>5</v>
      </c>
      <c r="H316" s="49">
        <f>(Table1[[#This Row],[Points Per 90 Minutes]]/G316)</f>
        <v>0.76510067114093971</v>
      </c>
    </row>
    <row r="317" spans="1:8">
      <c r="A317" s="48" t="s">
        <v>484</v>
      </c>
      <c r="B317" s="48" t="s">
        <v>661</v>
      </c>
      <c r="C317" s="48" t="s">
        <v>121</v>
      </c>
      <c r="D317" s="48">
        <v>19</v>
      </c>
      <c r="E317" s="48">
        <v>458</v>
      </c>
      <c r="F317" s="49">
        <f t="shared" si="4"/>
        <v>3.7336244541484715</v>
      </c>
      <c r="G317" s="48">
        <v>5</v>
      </c>
      <c r="H317" s="49">
        <f>(Table1[[#This Row],[Points Per 90 Minutes]]/G317)</f>
        <v>0.74672489082969429</v>
      </c>
    </row>
    <row r="318" spans="1:8">
      <c r="A318" s="48" t="s">
        <v>491</v>
      </c>
      <c r="B318" s="48" t="s">
        <v>661</v>
      </c>
      <c r="C318" s="48" t="s">
        <v>129</v>
      </c>
      <c r="D318" s="48">
        <v>19</v>
      </c>
      <c r="E318" s="48">
        <v>399</v>
      </c>
      <c r="F318" s="49">
        <f t="shared" si="4"/>
        <v>4.2857142857142856</v>
      </c>
      <c r="G318" s="48">
        <v>5.5</v>
      </c>
      <c r="H318" s="49">
        <f>(Table1[[#This Row],[Points Per 90 Minutes]]/G318)</f>
        <v>0.77922077922077915</v>
      </c>
    </row>
    <row r="319" spans="1:8">
      <c r="A319" s="48" t="s">
        <v>472</v>
      </c>
      <c r="B319" s="48" t="s">
        <v>664</v>
      </c>
      <c r="C319" s="48" t="s">
        <v>666</v>
      </c>
      <c r="D319" s="48">
        <v>19</v>
      </c>
      <c r="E319" s="48">
        <v>588</v>
      </c>
      <c r="F319" s="49">
        <f t="shared" si="4"/>
        <v>2.9081632653061225</v>
      </c>
      <c r="G319" s="48">
        <v>4.5</v>
      </c>
      <c r="H319" s="49">
        <f>(Table1[[#This Row],[Points Per 90 Minutes]]/G319)</f>
        <v>0.6462585034013606</v>
      </c>
    </row>
    <row r="320" spans="1:8">
      <c r="A320" s="48" t="s">
        <v>490</v>
      </c>
      <c r="B320" s="48" t="s">
        <v>664</v>
      </c>
      <c r="C320" s="48" t="s">
        <v>665</v>
      </c>
      <c r="D320" s="48">
        <v>19</v>
      </c>
      <c r="E320" s="48">
        <v>415</v>
      </c>
      <c r="F320" s="49">
        <f t="shared" si="4"/>
        <v>4.1204819277108431</v>
      </c>
      <c r="G320" s="48">
        <v>4</v>
      </c>
      <c r="H320" s="49">
        <f>(Table1[[#This Row],[Points Per 90 Minutes]]/G320)</f>
        <v>1.0301204819277108</v>
      </c>
    </row>
    <row r="321" spans="1:8">
      <c r="A321" s="48" t="s">
        <v>500</v>
      </c>
      <c r="B321" s="48" t="s">
        <v>660</v>
      </c>
      <c r="C321" s="48" t="s">
        <v>127</v>
      </c>
      <c r="D321" s="48">
        <v>18</v>
      </c>
      <c r="E321" s="48">
        <v>317</v>
      </c>
      <c r="F321" s="49">
        <f t="shared" si="4"/>
        <v>5.1104100946372242</v>
      </c>
      <c r="G321" s="48">
        <v>5</v>
      </c>
      <c r="H321" s="49">
        <f>(Table1[[#This Row],[Points Per 90 Minutes]]/G321)</f>
        <v>1.0220820189274449</v>
      </c>
    </row>
    <row r="322" spans="1:8">
      <c r="A322" s="48" t="s">
        <v>501</v>
      </c>
      <c r="B322" s="48" t="s">
        <v>660</v>
      </c>
      <c r="C322" s="48" t="s">
        <v>125</v>
      </c>
      <c r="D322" s="48">
        <v>17</v>
      </c>
      <c r="E322" s="48">
        <v>315</v>
      </c>
      <c r="F322" s="49">
        <f t="shared" ref="F322:F383" si="5">D322/E322*90</f>
        <v>4.8571428571428577</v>
      </c>
      <c r="G322" s="48">
        <v>7.5</v>
      </c>
      <c r="H322" s="49">
        <f>(Table1[[#This Row],[Points Per 90 Minutes]]/G322)</f>
        <v>0.64761904761904765</v>
      </c>
    </row>
    <row r="323" spans="1:8">
      <c r="A323" s="48" t="s">
        <v>482</v>
      </c>
      <c r="B323" s="48" t="s">
        <v>660</v>
      </c>
      <c r="C323" s="48" t="s">
        <v>134</v>
      </c>
      <c r="D323" s="48">
        <v>17</v>
      </c>
      <c r="E323" s="48">
        <v>460</v>
      </c>
      <c r="F323" s="49">
        <f t="shared" si="5"/>
        <v>3.3260869565217392</v>
      </c>
      <c r="G323" s="48">
        <v>4.5</v>
      </c>
      <c r="H323" s="49">
        <f>(Table1[[#This Row],[Points Per 90 Minutes]]/G323)</f>
        <v>0.73913043478260876</v>
      </c>
    </row>
    <row r="324" spans="1:8">
      <c r="A324" s="48" t="s">
        <v>503</v>
      </c>
      <c r="B324" s="48" t="s">
        <v>661</v>
      </c>
      <c r="C324" s="48" t="s">
        <v>666</v>
      </c>
      <c r="D324" s="48">
        <v>17</v>
      </c>
      <c r="E324" s="48">
        <v>289</v>
      </c>
      <c r="F324" s="49">
        <f t="shared" si="5"/>
        <v>5.2941176470588234</v>
      </c>
      <c r="G324" s="48">
        <v>4.5</v>
      </c>
      <c r="H324" s="49">
        <f>(Table1[[#This Row],[Points Per 90 Minutes]]/G324)</f>
        <v>1.1764705882352942</v>
      </c>
    </row>
    <row r="325" spans="1:8">
      <c r="A325" s="48" t="s">
        <v>494</v>
      </c>
      <c r="B325" s="48" t="s">
        <v>664</v>
      </c>
      <c r="C325" s="48" t="s">
        <v>121</v>
      </c>
      <c r="D325" s="48">
        <v>16</v>
      </c>
      <c r="E325" s="48">
        <v>350</v>
      </c>
      <c r="F325" s="49">
        <f t="shared" si="5"/>
        <v>4.1142857142857139</v>
      </c>
      <c r="G325" s="48">
        <v>5</v>
      </c>
      <c r="H325" s="49">
        <f>(Table1[[#This Row],[Points Per 90 Minutes]]/G325)</f>
        <v>0.82285714285714273</v>
      </c>
    </row>
    <row r="326" spans="1:8">
      <c r="A326" s="48" t="s">
        <v>459</v>
      </c>
      <c r="B326" s="48" t="s">
        <v>664</v>
      </c>
      <c r="C326" s="48" t="s">
        <v>669</v>
      </c>
      <c r="D326" s="48">
        <v>16</v>
      </c>
      <c r="E326" s="48">
        <v>653</v>
      </c>
      <c r="F326" s="49">
        <f t="shared" si="5"/>
        <v>2.2052067381316998</v>
      </c>
      <c r="G326" s="48">
        <v>4.5</v>
      </c>
      <c r="H326" s="49">
        <f>(Table1[[#This Row],[Points Per 90 Minutes]]/G326)</f>
        <v>0.49004594180704442</v>
      </c>
    </row>
    <row r="327" spans="1:8">
      <c r="A327" s="48" t="s">
        <v>297</v>
      </c>
      <c r="B327" s="48" t="s">
        <v>661</v>
      </c>
      <c r="C327" s="48" t="s">
        <v>669</v>
      </c>
      <c r="D327" s="48">
        <v>16</v>
      </c>
      <c r="E327" s="48">
        <v>357</v>
      </c>
      <c r="F327" s="49">
        <f t="shared" si="5"/>
        <v>4.0336134453781511</v>
      </c>
      <c r="G327" s="48">
        <v>5</v>
      </c>
      <c r="H327" s="49">
        <f>(Table1[[#This Row],[Points Per 90 Minutes]]/G327)</f>
        <v>0.80672268907563027</v>
      </c>
    </row>
    <row r="328" spans="1:8">
      <c r="A328" s="48" t="s">
        <v>469</v>
      </c>
      <c r="B328" s="48" t="s">
        <v>664</v>
      </c>
      <c r="C328" s="48" t="s">
        <v>126</v>
      </c>
      <c r="D328" s="48">
        <v>15</v>
      </c>
      <c r="E328" s="48">
        <v>605</v>
      </c>
      <c r="F328" s="49">
        <f t="shared" si="5"/>
        <v>2.2314049586776861</v>
      </c>
      <c r="G328" s="48">
        <v>4.5</v>
      </c>
      <c r="H328" s="49">
        <f>(Table1[[#This Row],[Points Per 90 Minutes]]/G328)</f>
        <v>0.49586776859504134</v>
      </c>
    </row>
    <row r="329" spans="1:8">
      <c r="A329" s="48" t="s">
        <v>507</v>
      </c>
      <c r="B329" s="48" t="s">
        <v>667</v>
      </c>
      <c r="C329" s="48" t="s">
        <v>671</v>
      </c>
      <c r="D329" s="48">
        <v>15</v>
      </c>
      <c r="E329" s="48">
        <v>270</v>
      </c>
      <c r="F329" s="49">
        <f t="shared" si="5"/>
        <v>5</v>
      </c>
      <c r="G329" s="48">
        <v>4.5</v>
      </c>
      <c r="H329" s="49">
        <f>(Table1[[#This Row],[Points Per 90 Minutes]]/G329)</f>
        <v>1.1111111111111112</v>
      </c>
    </row>
    <row r="330" spans="1:8">
      <c r="A330" s="48" t="s">
        <v>477</v>
      </c>
      <c r="B330" s="48" t="s">
        <v>660</v>
      </c>
      <c r="C330" s="48" t="s">
        <v>666</v>
      </c>
      <c r="D330" s="48">
        <v>15</v>
      </c>
      <c r="E330" s="48">
        <v>534</v>
      </c>
      <c r="F330" s="49">
        <f t="shared" si="5"/>
        <v>2.5280898876404492</v>
      </c>
      <c r="G330" s="48">
        <v>4.5</v>
      </c>
      <c r="H330" s="49">
        <f>(Table1[[#This Row],[Points Per 90 Minutes]]/G330)</f>
        <v>0.56179775280898869</v>
      </c>
    </row>
    <row r="331" spans="1:8">
      <c r="A331" s="48" t="s">
        <v>478</v>
      </c>
      <c r="B331" s="48" t="s">
        <v>664</v>
      </c>
      <c r="C331" s="48" t="s">
        <v>665</v>
      </c>
      <c r="D331" s="48">
        <v>15</v>
      </c>
      <c r="E331" s="48">
        <v>526</v>
      </c>
      <c r="F331" s="49">
        <f t="shared" si="5"/>
        <v>2.5665399239543727</v>
      </c>
      <c r="G331" s="48">
        <v>4.5</v>
      </c>
      <c r="H331" s="49">
        <f>(Table1[[#This Row],[Points Per 90 Minutes]]/G331)</f>
        <v>0.57034220532319391</v>
      </c>
    </row>
    <row r="332" spans="1:8">
      <c r="A332" s="48" t="s">
        <v>488</v>
      </c>
      <c r="B332" s="48" t="s">
        <v>660</v>
      </c>
      <c r="C332" s="48" t="s">
        <v>127</v>
      </c>
      <c r="D332" s="48">
        <v>14</v>
      </c>
      <c r="E332" s="48">
        <v>416</v>
      </c>
      <c r="F332" s="49">
        <f t="shared" si="5"/>
        <v>3.0288461538461537</v>
      </c>
      <c r="G332" s="48">
        <v>4.5</v>
      </c>
      <c r="H332" s="49">
        <f>(Table1[[#This Row],[Points Per 90 Minutes]]/G332)</f>
        <v>0.67307692307692302</v>
      </c>
    </row>
    <row r="333" spans="1:8">
      <c r="A333" s="48" t="s">
        <v>512</v>
      </c>
      <c r="B333" s="48" t="s">
        <v>661</v>
      </c>
      <c r="C333" s="48" t="s">
        <v>672</v>
      </c>
      <c r="D333" s="48">
        <v>14</v>
      </c>
      <c r="E333" s="48">
        <v>211</v>
      </c>
      <c r="F333" s="49">
        <f t="shared" si="5"/>
        <v>5.9715639810426548</v>
      </c>
      <c r="G333" s="48">
        <v>4.5</v>
      </c>
      <c r="H333" s="49">
        <f>(Table1[[#This Row],[Points Per 90 Minutes]]/G333)</f>
        <v>1.3270142180094788</v>
      </c>
    </row>
    <row r="334" spans="1:8">
      <c r="A334" s="48" t="s">
        <v>493</v>
      </c>
      <c r="B334" s="48" t="s">
        <v>667</v>
      </c>
      <c r="C334" s="48" t="s">
        <v>663</v>
      </c>
      <c r="D334" s="48">
        <v>14</v>
      </c>
      <c r="E334" s="48">
        <v>357</v>
      </c>
      <c r="F334" s="49">
        <f t="shared" si="5"/>
        <v>3.5294117647058822</v>
      </c>
      <c r="G334" s="48">
        <v>4.5</v>
      </c>
      <c r="H334" s="49">
        <f>(Table1[[#This Row],[Points Per 90 Minutes]]/G334)</f>
        <v>0.78431372549019607</v>
      </c>
    </row>
    <row r="335" spans="1:8">
      <c r="A335" s="48" t="s">
        <v>489</v>
      </c>
      <c r="B335" s="48" t="s">
        <v>660</v>
      </c>
      <c r="C335" s="48" t="s">
        <v>665</v>
      </c>
      <c r="D335" s="48">
        <v>14</v>
      </c>
      <c r="E335" s="48">
        <v>416</v>
      </c>
      <c r="F335" s="49">
        <f t="shared" si="5"/>
        <v>3.0288461538461537</v>
      </c>
      <c r="G335" s="48">
        <v>5</v>
      </c>
      <c r="H335" s="49">
        <f>(Table1[[#This Row],[Points Per 90 Minutes]]/G335)</f>
        <v>0.60576923076923073</v>
      </c>
    </row>
    <row r="336" spans="1:8">
      <c r="A336" s="48" t="s">
        <v>420</v>
      </c>
      <c r="B336" s="48" t="s">
        <v>664</v>
      </c>
      <c r="C336" s="48" t="s">
        <v>670</v>
      </c>
      <c r="D336" s="48">
        <v>13</v>
      </c>
      <c r="E336" s="48">
        <v>937</v>
      </c>
      <c r="F336" s="49">
        <f t="shared" si="5"/>
        <v>1.2486659551760939</v>
      </c>
      <c r="G336" s="48">
        <v>4</v>
      </c>
      <c r="H336" s="49">
        <f>(Table1[[#This Row],[Points Per 90 Minutes]]/G336)</f>
        <v>0.31216648879402348</v>
      </c>
    </row>
    <row r="337" spans="1:8">
      <c r="A337" s="48" t="s">
        <v>496</v>
      </c>
      <c r="B337" s="48" t="s">
        <v>660</v>
      </c>
      <c r="C337" s="48" t="s">
        <v>670</v>
      </c>
      <c r="D337" s="48">
        <v>13</v>
      </c>
      <c r="E337" s="48">
        <v>335</v>
      </c>
      <c r="F337" s="49">
        <f t="shared" si="5"/>
        <v>3.4925373134328357</v>
      </c>
      <c r="G337" s="48">
        <v>4.5</v>
      </c>
      <c r="H337" s="49">
        <f>(Table1[[#This Row],[Points Per 90 Minutes]]/G337)</f>
        <v>0.77611940298507465</v>
      </c>
    </row>
    <row r="338" spans="1:8">
      <c r="A338" s="48" t="s">
        <v>521</v>
      </c>
      <c r="B338" s="48" t="s">
        <v>660</v>
      </c>
      <c r="C338" s="48" t="s">
        <v>672</v>
      </c>
      <c r="D338" s="48">
        <v>13</v>
      </c>
      <c r="E338" s="48">
        <v>132</v>
      </c>
      <c r="F338" s="49">
        <f t="shared" si="5"/>
        <v>8.8636363636363633</v>
      </c>
      <c r="G338" s="48">
        <v>5</v>
      </c>
      <c r="H338" s="49">
        <f>(Table1[[#This Row],[Points Per 90 Minutes]]/G338)</f>
        <v>1.7727272727272727</v>
      </c>
    </row>
    <row r="339" spans="1:8">
      <c r="A339" s="48" t="s">
        <v>485</v>
      </c>
      <c r="B339" s="48" t="s">
        <v>660</v>
      </c>
      <c r="C339" s="48" t="s">
        <v>671</v>
      </c>
      <c r="D339" s="48">
        <v>13</v>
      </c>
      <c r="E339" s="48">
        <v>450</v>
      </c>
      <c r="F339" s="49">
        <f t="shared" si="5"/>
        <v>2.6</v>
      </c>
      <c r="G339" s="48">
        <v>4.5</v>
      </c>
      <c r="H339" s="49">
        <f>(Table1[[#This Row],[Points Per 90 Minutes]]/G339)</f>
        <v>0.57777777777777783</v>
      </c>
    </row>
    <row r="340" spans="1:8">
      <c r="A340" s="48" t="s">
        <v>464</v>
      </c>
      <c r="B340" s="48" t="s">
        <v>664</v>
      </c>
      <c r="C340" s="48" t="s">
        <v>666</v>
      </c>
      <c r="D340" s="48">
        <v>13</v>
      </c>
      <c r="E340" s="48">
        <v>630</v>
      </c>
      <c r="F340" s="49">
        <f t="shared" si="5"/>
        <v>1.8571428571428572</v>
      </c>
      <c r="G340" s="48">
        <v>4.5</v>
      </c>
      <c r="H340" s="49">
        <f>(Table1[[#This Row],[Points Per 90 Minutes]]/G340)</f>
        <v>0.41269841269841273</v>
      </c>
    </row>
    <row r="341" spans="1:8">
      <c r="A341" s="48" t="s">
        <v>492</v>
      </c>
      <c r="B341" s="48" t="s">
        <v>660</v>
      </c>
      <c r="C341" s="48" t="s">
        <v>123</v>
      </c>
      <c r="D341" s="48">
        <v>12</v>
      </c>
      <c r="E341" s="48">
        <v>359</v>
      </c>
      <c r="F341" s="49">
        <f t="shared" si="5"/>
        <v>3.0083565459610031</v>
      </c>
      <c r="G341" s="48">
        <v>5</v>
      </c>
      <c r="H341" s="49">
        <f>(Table1[[#This Row],[Points Per 90 Minutes]]/G341)</f>
        <v>0.60167130919220058</v>
      </c>
    </row>
    <row r="342" spans="1:8">
      <c r="A342" s="48" t="s">
        <v>483</v>
      </c>
      <c r="B342" s="48" t="s">
        <v>660</v>
      </c>
      <c r="C342" s="48" t="s">
        <v>663</v>
      </c>
      <c r="D342" s="48">
        <v>12</v>
      </c>
      <c r="E342" s="48">
        <v>459</v>
      </c>
      <c r="F342" s="49">
        <f t="shared" si="5"/>
        <v>2.3529411764705883</v>
      </c>
      <c r="G342" s="48">
        <v>4.5</v>
      </c>
      <c r="H342" s="49">
        <f>(Table1[[#This Row],[Points Per 90 Minutes]]/G342)</f>
        <v>0.52287581699346408</v>
      </c>
    </row>
    <row r="343" spans="1:8">
      <c r="A343" s="48" t="s">
        <v>508</v>
      </c>
      <c r="B343" s="48" t="s">
        <v>664</v>
      </c>
      <c r="C343" s="48" t="s">
        <v>668</v>
      </c>
      <c r="D343" s="48">
        <v>12</v>
      </c>
      <c r="E343" s="48">
        <v>242</v>
      </c>
      <c r="F343" s="49">
        <f t="shared" si="5"/>
        <v>4.4628099173553721</v>
      </c>
      <c r="G343" s="48">
        <v>4</v>
      </c>
      <c r="H343" s="49">
        <f>(Table1[[#This Row],[Points Per 90 Minutes]]/G343)</f>
        <v>1.115702479338843</v>
      </c>
    </row>
    <row r="344" spans="1:8">
      <c r="A344" s="48" t="s">
        <v>526</v>
      </c>
      <c r="B344" s="48" t="s">
        <v>667</v>
      </c>
      <c r="C344" s="48" t="s">
        <v>669</v>
      </c>
      <c r="D344" s="48">
        <v>11</v>
      </c>
      <c r="E344" s="48">
        <v>107</v>
      </c>
      <c r="F344" s="49">
        <f t="shared" si="5"/>
        <v>9.2523364485981308</v>
      </c>
      <c r="G344" s="48">
        <v>5</v>
      </c>
      <c r="H344" s="49">
        <f>(Table1[[#This Row],[Points Per 90 Minutes]]/G344)</f>
        <v>1.8504672897196262</v>
      </c>
    </row>
    <row r="345" spans="1:8">
      <c r="A345" s="48" t="s">
        <v>495</v>
      </c>
      <c r="B345" s="48" t="s">
        <v>660</v>
      </c>
      <c r="C345" s="48" t="s">
        <v>668</v>
      </c>
      <c r="D345" s="48">
        <v>11</v>
      </c>
      <c r="E345" s="48">
        <v>345</v>
      </c>
      <c r="F345" s="49">
        <f t="shared" si="5"/>
        <v>2.8695652173913042</v>
      </c>
      <c r="G345" s="48">
        <v>5</v>
      </c>
      <c r="H345" s="49">
        <f>(Table1[[#This Row],[Points Per 90 Minutes]]/G345)</f>
        <v>0.57391304347826089</v>
      </c>
    </row>
    <row r="346" spans="1:8">
      <c r="A346" s="48" t="s">
        <v>517</v>
      </c>
      <c r="B346" s="48" t="s">
        <v>660</v>
      </c>
      <c r="C346" s="48" t="s">
        <v>672</v>
      </c>
      <c r="D346" s="48">
        <v>10</v>
      </c>
      <c r="E346" s="48">
        <v>149</v>
      </c>
      <c r="F346" s="49">
        <f t="shared" si="5"/>
        <v>6.0402684563758386</v>
      </c>
      <c r="G346" s="48">
        <v>6.5</v>
      </c>
      <c r="H346" s="49">
        <f>(Table1[[#This Row],[Points Per 90 Minutes]]/G346)</f>
        <v>0.92927207021166747</v>
      </c>
    </row>
    <row r="347" spans="1:8">
      <c r="A347" s="48" t="s">
        <v>525</v>
      </c>
      <c r="B347" s="48" t="s">
        <v>660</v>
      </c>
      <c r="C347" s="48" t="s">
        <v>124</v>
      </c>
      <c r="D347" s="48">
        <v>9</v>
      </c>
      <c r="E347" s="48">
        <v>113</v>
      </c>
      <c r="F347" s="49">
        <f t="shared" si="5"/>
        <v>7.168141592920354</v>
      </c>
      <c r="G347" s="48">
        <v>5.5</v>
      </c>
      <c r="H347" s="49">
        <f>(Table1[[#This Row],[Points Per 90 Minutes]]/G347)</f>
        <v>1.3032984714400644</v>
      </c>
    </row>
    <row r="348" spans="1:8">
      <c r="A348" s="48" t="s">
        <v>511</v>
      </c>
      <c r="B348" s="48" t="s">
        <v>667</v>
      </c>
      <c r="C348" s="48" t="s">
        <v>126</v>
      </c>
      <c r="D348" s="48">
        <v>9</v>
      </c>
      <c r="E348" s="48">
        <v>216</v>
      </c>
      <c r="F348" s="49">
        <f t="shared" si="5"/>
        <v>3.75</v>
      </c>
      <c r="G348" s="48">
        <v>4</v>
      </c>
      <c r="H348" s="49">
        <f>(Table1[[#This Row],[Points Per 90 Minutes]]/G348)</f>
        <v>0.9375</v>
      </c>
    </row>
    <row r="349" spans="1:8">
      <c r="A349" s="48" t="s">
        <v>499</v>
      </c>
      <c r="B349" s="48" t="s">
        <v>660</v>
      </c>
      <c r="C349" s="48" t="s">
        <v>127</v>
      </c>
      <c r="D349" s="48">
        <v>9</v>
      </c>
      <c r="E349" s="48">
        <v>320</v>
      </c>
      <c r="F349" s="49">
        <f t="shared" si="5"/>
        <v>2.53125</v>
      </c>
      <c r="G349" s="48">
        <v>4.5</v>
      </c>
      <c r="H349" s="49">
        <f>(Table1[[#This Row],[Points Per 90 Minutes]]/G349)</f>
        <v>0.5625</v>
      </c>
    </row>
    <row r="350" spans="1:8">
      <c r="A350" s="48" t="s">
        <v>513</v>
      </c>
      <c r="B350" s="48" t="s">
        <v>664</v>
      </c>
      <c r="C350" s="48" t="s">
        <v>129</v>
      </c>
      <c r="D350" s="48">
        <v>9</v>
      </c>
      <c r="E350" s="48">
        <v>205</v>
      </c>
      <c r="F350" s="49">
        <f t="shared" si="5"/>
        <v>3.9512195121951219</v>
      </c>
      <c r="G350" s="48">
        <v>4.5</v>
      </c>
      <c r="H350" s="49">
        <f>(Table1[[#This Row],[Points Per 90 Minutes]]/G350)</f>
        <v>0.87804878048780488</v>
      </c>
    </row>
    <row r="351" spans="1:8">
      <c r="A351" s="48" t="s">
        <v>502</v>
      </c>
      <c r="B351" s="48" t="s">
        <v>660</v>
      </c>
      <c r="C351" s="48" t="s">
        <v>136</v>
      </c>
      <c r="D351" s="48">
        <v>9</v>
      </c>
      <c r="E351" s="48">
        <v>308</v>
      </c>
      <c r="F351" s="49">
        <f t="shared" si="5"/>
        <v>2.6298701298701297</v>
      </c>
      <c r="G351" s="48">
        <v>5.5</v>
      </c>
      <c r="H351" s="49">
        <f>(Table1[[#This Row],[Points Per 90 Minutes]]/G351)</f>
        <v>0.47815820543093268</v>
      </c>
    </row>
    <row r="352" spans="1:8">
      <c r="A352" s="48" t="s">
        <v>514</v>
      </c>
      <c r="B352" s="48" t="s">
        <v>660</v>
      </c>
      <c r="C352" s="48" t="s">
        <v>671</v>
      </c>
      <c r="D352" s="48">
        <v>8</v>
      </c>
      <c r="E352" s="48">
        <v>194</v>
      </c>
      <c r="F352" s="49">
        <f t="shared" si="5"/>
        <v>3.7113402061855671</v>
      </c>
      <c r="G352" s="48">
        <v>5</v>
      </c>
      <c r="H352" s="49">
        <f>(Table1[[#This Row],[Points Per 90 Minutes]]/G352)</f>
        <v>0.74226804123711343</v>
      </c>
    </row>
    <row r="353" spans="1:8">
      <c r="A353" s="48" t="s">
        <v>506</v>
      </c>
      <c r="B353" s="48" t="s">
        <v>667</v>
      </c>
      <c r="C353" s="48" t="s">
        <v>123</v>
      </c>
      <c r="D353" s="48">
        <v>7</v>
      </c>
      <c r="E353" s="48">
        <v>270</v>
      </c>
      <c r="F353" s="49">
        <f t="shared" si="5"/>
        <v>2.3333333333333335</v>
      </c>
      <c r="G353" s="48">
        <v>4.5</v>
      </c>
      <c r="H353" s="49">
        <f>(Table1[[#This Row],[Points Per 90 Minutes]]/G353)</f>
        <v>0.5185185185185186</v>
      </c>
    </row>
    <row r="354" spans="1:8">
      <c r="A354" s="48" t="s">
        <v>518</v>
      </c>
      <c r="B354" s="48" t="s">
        <v>660</v>
      </c>
      <c r="C354" s="48" t="s">
        <v>126</v>
      </c>
      <c r="D354" s="48">
        <v>7</v>
      </c>
      <c r="E354" s="48">
        <v>138</v>
      </c>
      <c r="F354" s="49">
        <f t="shared" si="5"/>
        <v>4.5652173913043477</v>
      </c>
      <c r="G354" s="48">
        <v>4.5</v>
      </c>
      <c r="H354" s="49">
        <f>(Table1[[#This Row],[Points Per 90 Minutes]]/G354)</f>
        <v>1.0144927536231885</v>
      </c>
    </row>
    <row r="355" spans="1:8">
      <c r="A355" s="48" t="s">
        <v>497</v>
      </c>
      <c r="B355" s="48" t="s">
        <v>664</v>
      </c>
      <c r="C355" s="48" t="s">
        <v>127</v>
      </c>
      <c r="D355" s="48">
        <v>7</v>
      </c>
      <c r="E355" s="48">
        <v>329</v>
      </c>
      <c r="F355" s="49">
        <f t="shared" si="5"/>
        <v>1.9148936170212765</v>
      </c>
      <c r="G355" s="48">
        <v>4</v>
      </c>
      <c r="H355" s="49">
        <f>(Table1[[#This Row],[Points Per 90 Minutes]]/G355)</f>
        <v>0.47872340425531912</v>
      </c>
    </row>
    <row r="356" spans="1:8">
      <c r="A356" s="48" t="s">
        <v>509</v>
      </c>
      <c r="B356" s="48" t="s">
        <v>664</v>
      </c>
      <c r="C356" s="48" t="s">
        <v>134</v>
      </c>
      <c r="D356" s="48">
        <v>7</v>
      </c>
      <c r="E356" s="48">
        <v>226</v>
      </c>
      <c r="F356" s="49">
        <f t="shared" si="5"/>
        <v>2.7876106194690267</v>
      </c>
      <c r="G356" s="48">
        <v>4</v>
      </c>
      <c r="H356" s="49">
        <f>(Table1[[#This Row],[Points Per 90 Minutes]]/G356)</f>
        <v>0.69690265486725667</v>
      </c>
    </row>
    <row r="357" spans="1:8">
      <c r="A357" s="48" t="s">
        <v>536</v>
      </c>
      <c r="B357" s="48" t="s">
        <v>661</v>
      </c>
      <c r="C357" s="48" t="s">
        <v>121</v>
      </c>
      <c r="D357" s="48">
        <v>6</v>
      </c>
      <c r="E357" s="48">
        <v>30</v>
      </c>
      <c r="F357" s="49">
        <f t="shared" si="5"/>
        <v>18</v>
      </c>
      <c r="G357" s="48">
        <v>5</v>
      </c>
      <c r="H357" s="49">
        <f>(Table1[[#This Row],[Points Per 90 Minutes]]/G357)</f>
        <v>3.6</v>
      </c>
    </row>
    <row r="358" spans="1:8">
      <c r="A358" s="48" t="s">
        <v>523</v>
      </c>
      <c r="B358" s="48" t="s">
        <v>660</v>
      </c>
      <c r="C358" s="48" t="s">
        <v>126</v>
      </c>
      <c r="D358" s="48">
        <v>6</v>
      </c>
      <c r="E358" s="48">
        <v>127</v>
      </c>
      <c r="F358" s="49">
        <f t="shared" si="5"/>
        <v>4.2519685039370074</v>
      </c>
      <c r="G358" s="48">
        <v>4.5</v>
      </c>
      <c r="H358" s="49">
        <f>(Table1[[#This Row],[Points Per 90 Minutes]]/G358)</f>
        <v>0.9448818897637794</v>
      </c>
    </row>
    <row r="359" spans="1:8">
      <c r="A359" s="48" t="s">
        <v>510</v>
      </c>
      <c r="B359" s="48" t="s">
        <v>667</v>
      </c>
      <c r="C359" s="48" t="s">
        <v>672</v>
      </c>
      <c r="D359" s="48">
        <v>5</v>
      </c>
      <c r="E359" s="48">
        <v>225</v>
      </c>
      <c r="F359" s="49">
        <f t="shared" si="5"/>
        <v>2</v>
      </c>
      <c r="G359" s="48">
        <v>4</v>
      </c>
      <c r="H359" s="49">
        <f>(Table1[[#This Row],[Points Per 90 Minutes]]/G359)</f>
        <v>0.5</v>
      </c>
    </row>
    <row r="360" spans="1:8">
      <c r="A360" s="48" t="s">
        <v>531</v>
      </c>
      <c r="B360" s="48" t="s">
        <v>661</v>
      </c>
      <c r="C360" s="48" t="s">
        <v>134</v>
      </c>
      <c r="D360" s="48">
        <v>5</v>
      </c>
      <c r="E360" s="48">
        <v>54</v>
      </c>
      <c r="F360" s="49">
        <f t="shared" si="5"/>
        <v>8.3333333333333321</v>
      </c>
      <c r="G360" s="48">
        <v>4.5</v>
      </c>
      <c r="H360" s="49">
        <f>(Table1[[#This Row],[Points Per 90 Minutes]]/G360)</f>
        <v>1.8518518518518516</v>
      </c>
    </row>
    <row r="361" spans="1:8">
      <c r="A361" s="48" t="s">
        <v>530</v>
      </c>
      <c r="B361" s="48" t="s">
        <v>661</v>
      </c>
      <c r="C361" s="48" t="s">
        <v>668</v>
      </c>
      <c r="D361" s="48">
        <v>5</v>
      </c>
      <c r="E361" s="48">
        <v>72</v>
      </c>
      <c r="F361" s="49">
        <f t="shared" si="5"/>
        <v>6.25</v>
      </c>
      <c r="G361" s="48">
        <v>4.5</v>
      </c>
      <c r="H361" s="49">
        <f>(Table1[[#This Row],[Points Per 90 Minutes]]/G361)</f>
        <v>1.3888888888888888</v>
      </c>
    </row>
    <row r="362" spans="1:8">
      <c r="A362" s="48" t="s">
        <v>520</v>
      </c>
      <c r="B362" s="48" t="s">
        <v>660</v>
      </c>
      <c r="C362" s="48" t="s">
        <v>125</v>
      </c>
      <c r="D362" s="48">
        <v>4</v>
      </c>
      <c r="E362" s="48">
        <v>132</v>
      </c>
      <c r="F362" s="49">
        <f t="shared" si="5"/>
        <v>2.7272727272727275</v>
      </c>
      <c r="G362" s="48">
        <v>5</v>
      </c>
      <c r="H362" s="49">
        <f>(Table1[[#This Row],[Points Per 90 Minutes]]/G362)</f>
        <v>0.54545454545454553</v>
      </c>
    </row>
    <row r="363" spans="1:8">
      <c r="A363" s="48" t="s">
        <v>519</v>
      </c>
      <c r="B363" s="48" t="s">
        <v>661</v>
      </c>
      <c r="C363" s="48" t="s">
        <v>662</v>
      </c>
      <c r="D363" s="48">
        <v>4</v>
      </c>
      <c r="E363" s="48">
        <v>137</v>
      </c>
      <c r="F363" s="49">
        <f t="shared" si="5"/>
        <v>2.6277372262773722</v>
      </c>
      <c r="G363" s="48">
        <v>5</v>
      </c>
      <c r="H363" s="49">
        <f>(Table1[[#This Row],[Points Per 90 Minutes]]/G363)</f>
        <v>0.52554744525547448</v>
      </c>
    </row>
    <row r="364" spans="1:8">
      <c r="A364" s="48" t="s">
        <v>524</v>
      </c>
      <c r="B364" s="48" t="s">
        <v>660</v>
      </c>
      <c r="C364" s="48" t="s">
        <v>666</v>
      </c>
      <c r="D364" s="48">
        <v>4</v>
      </c>
      <c r="E364" s="48">
        <v>115</v>
      </c>
      <c r="F364" s="49">
        <f t="shared" si="5"/>
        <v>3.1304347826086958</v>
      </c>
      <c r="G364" s="48">
        <v>4.5</v>
      </c>
      <c r="H364" s="49">
        <f>(Table1[[#This Row],[Points Per 90 Minutes]]/G364)</f>
        <v>0.69565217391304346</v>
      </c>
    </row>
    <row r="365" spans="1:8">
      <c r="A365" s="48" t="s">
        <v>527</v>
      </c>
      <c r="B365" s="48" t="s">
        <v>660</v>
      </c>
      <c r="C365" s="48" t="s">
        <v>126</v>
      </c>
      <c r="D365" s="48">
        <v>3</v>
      </c>
      <c r="E365" s="48">
        <v>92</v>
      </c>
      <c r="F365" s="49">
        <f t="shared" si="5"/>
        <v>2.9347826086956519</v>
      </c>
      <c r="G365" s="48">
        <v>4.5</v>
      </c>
      <c r="H365" s="49">
        <f>(Table1[[#This Row],[Points Per 90 Minutes]]/G365)</f>
        <v>0.65217391304347816</v>
      </c>
    </row>
    <row r="366" spans="1:8">
      <c r="A366" s="48" t="s">
        <v>516</v>
      </c>
      <c r="B366" s="48" t="s">
        <v>664</v>
      </c>
      <c r="C366" s="48" t="s">
        <v>127</v>
      </c>
      <c r="D366" s="48">
        <v>3</v>
      </c>
      <c r="E366" s="48">
        <v>173</v>
      </c>
      <c r="F366" s="49">
        <f t="shared" si="5"/>
        <v>1.5606936416184969</v>
      </c>
      <c r="G366" s="48">
        <v>4.5</v>
      </c>
      <c r="H366" s="49">
        <f>(Table1[[#This Row],[Points Per 90 Minutes]]/G366)</f>
        <v>0.34682080924855485</v>
      </c>
    </row>
    <row r="367" spans="1:8">
      <c r="A367" s="48" t="s">
        <v>504</v>
      </c>
      <c r="B367" s="48" t="s">
        <v>664</v>
      </c>
      <c r="C367" s="48" t="s">
        <v>127</v>
      </c>
      <c r="D367" s="48">
        <v>3</v>
      </c>
      <c r="E367" s="48">
        <v>287</v>
      </c>
      <c r="F367" s="49">
        <f t="shared" si="5"/>
        <v>0.94076655052264813</v>
      </c>
      <c r="G367" s="48">
        <v>4.5</v>
      </c>
      <c r="H367" s="49">
        <f>(Table1[[#This Row],[Points Per 90 Minutes]]/G367)</f>
        <v>0.20905923344947736</v>
      </c>
    </row>
    <row r="368" spans="1:8">
      <c r="A368" s="48" t="s">
        <v>515</v>
      </c>
      <c r="B368" s="48" t="s">
        <v>667</v>
      </c>
      <c r="C368" s="48" t="s">
        <v>662</v>
      </c>
      <c r="D368" s="48">
        <v>3</v>
      </c>
      <c r="E368" s="48">
        <v>180</v>
      </c>
      <c r="F368" s="49">
        <f t="shared" si="5"/>
        <v>1.5</v>
      </c>
      <c r="G368" s="48">
        <v>5</v>
      </c>
      <c r="H368" s="49">
        <f>(Table1[[#This Row],[Points Per 90 Minutes]]/G368)</f>
        <v>0.3</v>
      </c>
    </row>
    <row r="369" spans="1:8">
      <c r="A369" s="48" t="s">
        <v>534</v>
      </c>
      <c r="B369" s="48" t="s">
        <v>660</v>
      </c>
      <c r="C369" s="48" t="s">
        <v>666</v>
      </c>
      <c r="D369" s="48">
        <v>3</v>
      </c>
      <c r="E369" s="48">
        <v>44</v>
      </c>
      <c r="F369" s="49">
        <f t="shared" si="5"/>
        <v>6.1363636363636358</v>
      </c>
      <c r="G369" s="48">
        <v>4.5</v>
      </c>
      <c r="H369" s="49">
        <f>(Table1[[#This Row],[Points Per 90 Minutes]]/G369)</f>
        <v>1.3636363636363635</v>
      </c>
    </row>
    <row r="370" spans="1:8">
      <c r="A370" s="48" t="s">
        <v>528</v>
      </c>
      <c r="B370" s="48" t="s">
        <v>660</v>
      </c>
      <c r="C370" s="48" t="s">
        <v>665</v>
      </c>
      <c r="D370" s="48">
        <v>3</v>
      </c>
      <c r="E370" s="48">
        <v>91</v>
      </c>
      <c r="F370" s="49">
        <f t="shared" si="5"/>
        <v>2.9670329670329672</v>
      </c>
      <c r="G370" s="48">
        <v>4.5</v>
      </c>
      <c r="H370" s="49">
        <f>(Table1[[#This Row],[Points Per 90 Minutes]]/G370)</f>
        <v>0.65934065934065933</v>
      </c>
    </row>
    <row r="371" spans="1:8">
      <c r="A371" s="48" t="s">
        <v>174</v>
      </c>
      <c r="B371" s="48" t="s">
        <v>660</v>
      </c>
      <c r="C371" s="48" t="s">
        <v>126</v>
      </c>
      <c r="D371" s="48">
        <v>2</v>
      </c>
      <c r="E371" s="48">
        <v>36</v>
      </c>
      <c r="F371" s="49">
        <f t="shared" si="5"/>
        <v>5</v>
      </c>
      <c r="G371" s="48">
        <v>4.5</v>
      </c>
      <c r="H371" s="49">
        <f>(Table1[[#This Row],[Points Per 90 Minutes]]/G371)</f>
        <v>1.1111111111111112</v>
      </c>
    </row>
    <row r="372" spans="1:8">
      <c r="A372" s="48" t="s">
        <v>535</v>
      </c>
      <c r="B372" s="48" t="s">
        <v>664</v>
      </c>
      <c r="C372" s="48" t="s">
        <v>127</v>
      </c>
      <c r="D372" s="48">
        <v>2</v>
      </c>
      <c r="E372" s="48">
        <v>31</v>
      </c>
      <c r="F372" s="49">
        <f t="shared" si="5"/>
        <v>5.806451612903226</v>
      </c>
      <c r="G372" s="48">
        <v>4</v>
      </c>
      <c r="H372" s="49">
        <f>(Table1[[#This Row],[Points Per 90 Minutes]]/G372)</f>
        <v>1.4516129032258065</v>
      </c>
    </row>
    <row r="373" spans="1:8">
      <c r="A373" s="48" t="s">
        <v>522</v>
      </c>
      <c r="B373" s="48" t="s">
        <v>664</v>
      </c>
      <c r="C373" s="48" t="s">
        <v>666</v>
      </c>
      <c r="D373" s="48">
        <v>2</v>
      </c>
      <c r="E373" s="48">
        <v>129</v>
      </c>
      <c r="F373" s="49">
        <f t="shared" si="5"/>
        <v>1.3953488372093024</v>
      </c>
      <c r="G373" s="48">
        <v>4</v>
      </c>
      <c r="H373" s="49">
        <f>(Table1[[#This Row],[Points Per 90 Minutes]]/G373)</f>
        <v>0.34883720930232559</v>
      </c>
    </row>
    <row r="374" spans="1:8">
      <c r="A374" s="48" t="s">
        <v>541</v>
      </c>
      <c r="B374" s="48" t="s">
        <v>661</v>
      </c>
      <c r="C374" s="48" t="s">
        <v>123</v>
      </c>
      <c r="D374" s="48">
        <v>1</v>
      </c>
      <c r="E374" s="48">
        <v>8</v>
      </c>
      <c r="F374" s="49">
        <f t="shared" si="5"/>
        <v>11.25</v>
      </c>
      <c r="G374" s="48">
        <v>4.5</v>
      </c>
      <c r="H374" s="49">
        <f>(Table1[[#This Row],[Points Per 90 Minutes]]/G374)</f>
        <v>2.5</v>
      </c>
    </row>
    <row r="375" spans="1:8">
      <c r="A375" s="48" t="s">
        <v>319</v>
      </c>
      <c r="B375" s="48" t="s">
        <v>660</v>
      </c>
      <c r="C375" s="48" t="s">
        <v>125</v>
      </c>
      <c r="D375" s="48">
        <v>1</v>
      </c>
      <c r="E375" s="48">
        <v>12</v>
      </c>
      <c r="F375" s="49">
        <f t="shared" si="5"/>
        <v>7.5</v>
      </c>
      <c r="G375" s="48">
        <v>4.5</v>
      </c>
      <c r="H375" s="49">
        <f>(Table1[[#This Row],[Points Per 90 Minutes]]/G375)</f>
        <v>1.6666666666666667</v>
      </c>
    </row>
    <row r="376" spans="1:8">
      <c r="A376" s="48" t="s">
        <v>539</v>
      </c>
      <c r="B376" s="48" t="s">
        <v>664</v>
      </c>
      <c r="C376" s="48" t="s">
        <v>125</v>
      </c>
      <c r="D376" s="48">
        <v>1</v>
      </c>
      <c r="E376" s="48">
        <v>13</v>
      </c>
      <c r="F376" s="49">
        <f t="shared" si="5"/>
        <v>6.9230769230769234</v>
      </c>
      <c r="G376" s="48">
        <v>4.5</v>
      </c>
      <c r="H376" s="49">
        <f>(Table1[[#This Row],[Points Per 90 Minutes]]/G376)</f>
        <v>1.5384615384615385</v>
      </c>
    </row>
    <row r="377" spans="1:8">
      <c r="A377" s="48" t="s">
        <v>537</v>
      </c>
      <c r="B377" s="48" t="s">
        <v>664</v>
      </c>
      <c r="C377" s="48" t="s">
        <v>125</v>
      </c>
      <c r="D377" s="48">
        <v>1</v>
      </c>
      <c r="E377" s="48">
        <v>18</v>
      </c>
      <c r="F377" s="49">
        <f t="shared" si="5"/>
        <v>5</v>
      </c>
      <c r="G377" s="48">
        <v>4.5</v>
      </c>
      <c r="H377" s="49">
        <f>(Table1[[#This Row],[Points Per 90 Minutes]]/G377)</f>
        <v>1.1111111111111112</v>
      </c>
    </row>
    <row r="378" spans="1:8">
      <c r="A378" s="48" t="s">
        <v>542</v>
      </c>
      <c r="B378" s="48" t="s">
        <v>664</v>
      </c>
      <c r="C378" s="48" t="s">
        <v>126</v>
      </c>
      <c r="D378" s="48">
        <v>1</v>
      </c>
      <c r="E378" s="48">
        <v>4</v>
      </c>
      <c r="F378" s="49">
        <f t="shared" si="5"/>
        <v>22.5</v>
      </c>
      <c r="G378" s="48">
        <v>4</v>
      </c>
      <c r="H378" s="49">
        <f>(Table1[[#This Row],[Points Per 90 Minutes]]/G378)</f>
        <v>5.625</v>
      </c>
    </row>
    <row r="379" spans="1:8">
      <c r="A379" s="48" t="s">
        <v>538</v>
      </c>
      <c r="B379" s="48" t="s">
        <v>660</v>
      </c>
      <c r="C379" s="48" t="s">
        <v>669</v>
      </c>
      <c r="D379" s="48">
        <v>1</v>
      </c>
      <c r="E379" s="48">
        <v>14</v>
      </c>
      <c r="F379" s="49">
        <f t="shared" si="5"/>
        <v>6.4285714285714279</v>
      </c>
      <c r="G379" s="48">
        <v>5</v>
      </c>
      <c r="H379" s="49">
        <f>(Table1[[#This Row],[Points Per 90 Minutes]]/G379)</f>
        <v>1.2857142857142856</v>
      </c>
    </row>
    <row r="380" spans="1:8">
      <c r="A380" s="48" t="s">
        <v>533</v>
      </c>
      <c r="B380" s="48" t="s">
        <v>661</v>
      </c>
      <c r="C380" s="48" t="s">
        <v>669</v>
      </c>
      <c r="D380" s="48">
        <v>1</v>
      </c>
      <c r="E380" s="48">
        <v>45</v>
      </c>
      <c r="F380" s="49">
        <f t="shared" si="5"/>
        <v>2</v>
      </c>
      <c r="G380" s="48">
        <v>6</v>
      </c>
      <c r="H380" s="49">
        <f>(Table1[[#This Row],[Points Per 90 Minutes]]/G380)</f>
        <v>0.33333333333333331</v>
      </c>
    </row>
    <row r="381" spans="1:8">
      <c r="A381" s="48" t="s">
        <v>532</v>
      </c>
      <c r="B381" s="48" t="s">
        <v>660</v>
      </c>
      <c r="C381" s="48" t="s">
        <v>134</v>
      </c>
      <c r="D381" s="48">
        <v>1</v>
      </c>
      <c r="E381" s="48">
        <v>52</v>
      </c>
      <c r="F381" s="49">
        <f t="shared" si="5"/>
        <v>1.7307692307692308</v>
      </c>
      <c r="G381" s="48">
        <v>5</v>
      </c>
      <c r="H381" s="49">
        <f>(Table1[[#This Row],[Points Per 90 Minutes]]/G381)</f>
        <v>0.34615384615384615</v>
      </c>
    </row>
    <row r="382" spans="1:8">
      <c r="A382" s="48" t="s">
        <v>540</v>
      </c>
      <c r="B382" s="48" t="s">
        <v>664</v>
      </c>
      <c r="C382" s="48" t="s">
        <v>663</v>
      </c>
      <c r="D382" s="48">
        <v>1</v>
      </c>
      <c r="E382" s="48">
        <v>12</v>
      </c>
      <c r="F382" s="49">
        <f t="shared" si="5"/>
        <v>7.5</v>
      </c>
      <c r="G382" s="48">
        <v>4.5</v>
      </c>
      <c r="H382" s="49">
        <f>(Table1[[#This Row],[Points Per 90 Minutes]]/G382)</f>
        <v>1.6666666666666667</v>
      </c>
    </row>
    <row r="383" spans="1:8">
      <c r="A383" s="48" t="s">
        <v>529</v>
      </c>
      <c r="B383" s="48" t="s">
        <v>664</v>
      </c>
      <c r="C383" s="48" t="s">
        <v>136</v>
      </c>
      <c r="D383" s="48">
        <v>0</v>
      </c>
      <c r="E383" s="48">
        <v>90</v>
      </c>
      <c r="F383" s="49">
        <f t="shared" si="5"/>
        <v>0</v>
      </c>
      <c r="G383" s="48">
        <v>4</v>
      </c>
      <c r="H383" s="49">
        <f>(Table1[[#This Row],[Points Per 90 Minutes]]/G383)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2015-07-15T16:00:13Z</dcterms:created>
  <dcterms:modified xsi:type="dcterms:W3CDTF">2019-10-10T11:14:19Z</dcterms:modified>
  <cp:category/>
  <cp:contentStatus/>
</cp:coreProperties>
</file>